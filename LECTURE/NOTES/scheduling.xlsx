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525" windowWidth="15600" windowHeight="7365" firstSheet="1" activeTab="1"/>
  </bookViews>
  <sheets>
    <sheet name="Attendance" sheetId="1" r:id="rId1"/>
    <sheet name="FCFS" sheetId="2" r:id="rId2"/>
    <sheet name="SJF-non Preem" sheetId="3" r:id="rId3"/>
    <sheet name="SJF-Preem" sheetId="4" r:id="rId4"/>
    <sheet name="priority" sheetId="5" r:id="rId5"/>
    <sheet name="Priority-Preem" sheetId="6" r:id="rId6"/>
    <sheet name="RR" sheetId="7" r:id="rId7"/>
    <sheet name="Sheet1" sheetId="8" r:id="rId8"/>
  </sheets>
  <calcPr calcId="124519"/>
</workbook>
</file>

<file path=xl/calcChain.xml><?xml version="1.0" encoding="utf-8"?>
<calcChain xmlns="http://schemas.openxmlformats.org/spreadsheetml/2006/main">
  <c r="G5" i="7"/>
  <c r="G6"/>
  <c r="G7"/>
  <c r="G8"/>
  <c r="G4"/>
  <c r="F5"/>
  <c r="F6"/>
  <c r="F7"/>
  <c r="F8"/>
  <c r="F4"/>
  <c r="H21" i="6"/>
  <c r="H22"/>
  <c r="H23"/>
  <c r="H20"/>
  <c r="G21"/>
  <c r="G22"/>
  <c r="G23"/>
  <c r="G24"/>
  <c r="H24" s="1"/>
  <c r="G20"/>
  <c r="H4"/>
  <c r="H5"/>
  <c r="H6"/>
  <c r="H7"/>
  <c r="H3"/>
  <c r="H8" s="1"/>
  <c r="G4"/>
  <c r="G5"/>
  <c r="G6"/>
  <c r="G7"/>
  <c r="G3"/>
  <c r="H38" i="5"/>
  <c r="H39"/>
  <c r="H40"/>
  <c r="H41"/>
  <c r="H37"/>
  <c r="H42" s="1"/>
  <c r="G38"/>
  <c r="G39"/>
  <c r="G40"/>
  <c r="G41"/>
  <c r="G37"/>
  <c r="G42" s="1"/>
  <c r="H21"/>
  <c r="H22"/>
  <c r="H23"/>
  <c r="H24"/>
  <c r="H20"/>
  <c r="H25" s="1"/>
  <c r="G21"/>
  <c r="G22"/>
  <c r="G23"/>
  <c r="G24"/>
  <c r="G20"/>
  <c r="H4"/>
  <c r="H5"/>
  <c r="H6"/>
  <c r="H7"/>
  <c r="H3"/>
  <c r="G4"/>
  <c r="G5"/>
  <c r="G8" s="1"/>
  <c r="G6"/>
  <c r="G7"/>
  <c r="G3"/>
  <c r="G56" i="4"/>
  <c r="G57"/>
  <c r="G58"/>
  <c r="G59"/>
  <c r="G55"/>
  <c r="G60" s="1"/>
  <c r="F56"/>
  <c r="F57"/>
  <c r="F58"/>
  <c r="F59"/>
  <c r="F55"/>
  <c r="F60" s="1"/>
  <c r="G40"/>
  <c r="G41"/>
  <c r="G42"/>
  <c r="G43"/>
  <c r="G39"/>
  <c r="G44" s="1"/>
  <c r="F40"/>
  <c r="F41"/>
  <c r="F42"/>
  <c r="F43"/>
  <c r="F39"/>
  <c r="F44" s="1"/>
  <c r="G26"/>
  <c r="F26"/>
  <c r="G22"/>
  <c r="G23"/>
  <c r="G24"/>
  <c r="G25"/>
  <c r="G21"/>
  <c r="F22"/>
  <c r="F23"/>
  <c r="F24"/>
  <c r="F25"/>
  <c r="F21"/>
  <c r="F4"/>
  <c r="G4" s="1"/>
  <c r="F5"/>
  <c r="G5" s="1"/>
  <c r="F6"/>
  <c r="G6" s="1"/>
  <c r="F7"/>
  <c r="G7" s="1"/>
  <c r="F3"/>
  <c r="F8" s="1"/>
  <c r="G41" i="3"/>
  <c r="F41"/>
  <c r="G37"/>
  <c r="G38"/>
  <c r="G39"/>
  <c r="G40"/>
  <c r="G36"/>
  <c r="F37"/>
  <c r="F38"/>
  <c r="F39"/>
  <c r="F40"/>
  <c r="F36"/>
  <c r="G22"/>
  <c r="G24"/>
  <c r="F21"/>
  <c r="G21" s="1"/>
  <c r="F22"/>
  <c r="F23"/>
  <c r="G23" s="1"/>
  <c r="F24"/>
  <c r="F20"/>
  <c r="G20" s="1"/>
  <c r="G25" s="1"/>
  <c r="G5"/>
  <c r="G7"/>
  <c r="F4"/>
  <c r="G4" s="1"/>
  <c r="F5"/>
  <c r="F6"/>
  <c r="G6" s="1"/>
  <c r="F7"/>
  <c r="F3"/>
  <c r="G3" s="1"/>
  <c r="G8" s="1"/>
  <c r="J41" i="2"/>
  <c r="I41"/>
  <c r="J37"/>
  <c r="J38"/>
  <c r="J39"/>
  <c r="J40"/>
  <c r="J36"/>
  <c r="I37"/>
  <c r="I38"/>
  <c r="I39"/>
  <c r="I40"/>
  <c r="I36"/>
  <c r="G23"/>
  <c r="G24"/>
  <c r="G20"/>
  <c r="F21"/>
  <c r="G21" s="1"/>
  <c r="F22"/>
  <c r="G22" s="1"/>
  <c r="F23"/>
  <c r="F24"/>
  <c r="F20"/>
  <c r="F25" s="1"/>
  <c r="G4"/>
  <c r="G6"/>
  <c r="G7"/>
  <c r="G3"/>
  <c r="F4"/>
  <c r="F5"/>
  <c r="G5" s="1"/>
  <c r="G8" s="1"/>
  <c r="F6"/>
  <c r="F7"/>
  <c r="F3"/>
  <c r="G9" i="7" l="1"/>
  <c r="F9"/>
  <c r="H25" i="6"/>
  <c r="H42"/>
  <c r="G8"/>
  <c r="G25"/>
  <c r="G42"/>
  <c r="G25" i="5"/>
  <c r="H8"/>
  <c r="G8" i="4"/>
  <c r="G3"/>
  <c r="F25" i="3"/>
  <c r="F8"/>
  <c r="G25" i="2"/>
  <c r="F8"/>
</calcChain>
</file>

<file path=xl/sharedStrings.xml><?xml version="1.0" encoding="utf-8"?>
<sst xmlns="http://schemas.openxmlformats.org/spreadsheetml/2006/main" count="1126" uniqueCount="215">
  <si>
    <t>Attendance bot: dev(Pavan:p2pdops@gmail.com) on 2021-09-06 : 10:31: https://meet.google.com/ved-tyxb-yyd</t>
  </si>
  <si>
    <t>Members present : 89</t>
  </si>
  <si>
    <t>Attendee</t>
  </si>
  <si>
    <t>Score</t>
  </si>
  <si>
    <t>10:31 AM</t>
  </si>
  <si>
    <t>Sharad Adsure</t>
  </si>
  <si>
    <t>1/1</t>
  </si>
  <si>
    <t>✅</t>
  </si>
  <si>
    <t>05_B_ Devi Khandavalli</t>
  </si>
  <si>
    <t>09_A_Diksha Shelke</t>
  </si>
  <si>
    <t>10_A_Dnyaneshwari Pawar</t>
  </si>
  <si>
    <t>10_B_Disha Gaikwad</t>
  </si>
  <si>
    <t>11_A_gayatri wayal</t>
  </si>
  <si>
    <t>13_A_Ilham Mulla</t>
  </si>
  <si>
    <t>14_B_Hrutik Khillare</t>
  </si>
  <si>
    <t>15_B_jayraj khamkar</t>
  </si>
  <si>
    <t>16_B_jitesh Waghmare</t>
  </si>
  <si>
    <t>19_A_Nilam Gavhane</t>
  </si>
  <si>
    <t>2_B Abhishek Karhade</t>
  </si>
  <si>
    <t>22_B- Nilesh G</t>
  </si>
  <si>
    <t>25_B_Samir Pathan</t>
  </si>
  <si>
    <t>27_A_Pratiksha pise</t>
  </si>
  <si>
    <t>28_B_Pratiksha Koli</t>
  </si>
  <si>
    <t>30_A_Rushikesh mahajan</t>
  </si>
  <si>
    <t>33_A_Sakshi Andhale</t>
  </si>
  <si>
    <t>37_A_SANKET SHINDE</t>
  </si>
  <si>
    <t>4_A_Anannya Kamble</t>
  </si>
  <si>
    <t>44_A_Snehal Telore</t>
  </si>
  <si>
    <t>45_B_Simran Sonawane</t>
  </si>
  <si>
    <t>48_A_Tejaswi sabale</t>
  </si>
  <si>
    <t>50_B_Vaibhav Gadekar</t>
  </si>
  <si>
    <t>52_A_Harshada Yadav</t>
  </si>
  <si>
    <t>52_B_Vineet Patil</t>
  </si>
  <si>
    <t>53_A_samruddhi</t>
  </si>
  <si>
    <t>54_B_Yugandhara Ghanwat</t>
  </si>
  <si>
    <t>55_B_ Renuka Kale</t>
  </si>
  <si>
    <t>57_B_darshan gaikwad</t>
  </si>
  <si>
    <t>60_B_Vaishanvi Dalvi</t>
  </si>
  <si>
    <t>63_A_Manasi gadekar</t>
  </si>
  <si>
    <t>64.Mustafa Shaikh</t>
  </si>
  <si>
    <t>65_B_Varun Jadhav</t>
  </si>
  <si>
    <t>66_B_Rutuja Nalawade</t>
  </si>
  <si>
    <t>68_A_kajal Garje</t>
  </si>
  <si>
    <t>69_B_ Soham Gugalgave</t>
  </si>
  <si>
    <t>71_A_Sanskruti Ingle</t>
  </si>
  <si>
    <t>71_B_Nivruti Gawade</t>
  </si>
  <si>
    <t>73_A_Anushka Dhanve</t>
  </si>
  <si>
    <t>79_A_Devang Kodarkar</t>
  </si>
  <si>
    <t>79_B_ Rutuja Pawar</t>
  </si>
  <si>
    <t>8_B_Chinmay Kamble</t>
  </si>
  <si>
    <t>80_A_Nikita Ghume</t>
  </si>
  <si>
    <t>82_A_Komal Dafne</t>
  </si>
  <si>
    <t>82_B_Pradnya Mane</t>
  </si>
  <si>
    <t>83_B_Supriya Jadhav</t>
  </si>
  <si>
    <t>84_A_Sayali Paranjape</t>
  </si>
  <si>
    <t>84_B_Rohan Katgave</t>
  </si>
  <si>
    <t>9_B_Dhanashree Kamble</t>
  </si>
  <si>
    <t>A_07_Ashlesha Bachhav</t>
  </si>
  <si>
    <t>A_15_kajal tambe</t>
  </si>
  <si>
    <t>A_26_Prathamesh Pujari</t>
  </si>
  <si>
    <t>A_65_Sakshi Javeri</t>
  </si>
  <si>
    <t>A_72_Abhishek Sawalkar</t>
  </si>
  <si>
    <t>A_74_Nilofer _Shaikh</t>
  </si>
  <si>
    <t>A24 Prajwal</t>
  </si>
  <si>
    <t>Abhijit Dhumal</t>
  </si>
  <si>
    <t>Akshada Gavhane</t>
  </si>
  <si>
    <t>Amit</t>
  </si>
  <si>
    <t>B_42_Shantanu Ganar</t>
  </si>
  <si>
    <t>B_58_Himanshu Dhole</t>
  </si>
  <si>
    <t>Dnyaneshwar Kalwale</t>
  </si>
  <si>
    <t>Ganesh Tambe</t>
  </si>
  <si>
    <t>Harsh Gawade</t>
  </si>
  <si>
    <t>Mansi Chavan_18_B</t>
  </si>
  <si>
    <t>Monali Phase</t>
  </si>
  <si>
    <t>Nandhitha Srinivasan</t>
  </si>
  <si>
    <t>Nikhil Wabale -B-59</t>
  </si>
  <si>
    <t>nilesh_patil_A_20</t>
  </si>
  <si>
    <t>Nita Salunke_23_B</t>
  </si>
  <si>
    <t>Omkar Dambale</t>
  </si>
  <si>
    <t>Pavan Ghugre 23 A</t>
  </si>
  <si>
    <t>Pratik Phatangade</t>
  </si>
  <si>
    <t>Purushottam Nimje</t>
  </si>
  <si>
    <t>Rani Sangshetty</t>
  </si>
  <si>
    <t>Rishabh Malwade</t>
  </si>
  <si>
    <t>Rushikesh Andhare</t>
  </si>
  <si>
    <t>sakshi sonawane_35_B</t>
  </si>
  <si>
    <t>Saloni Soni 36</t>
  </si>
  <si>
    <t>Sanjana Chawadimani</t>
  </si>
  <si>
    <t>Satish Ashtagi</t>
  </si>
  <si>
    <t>saurabh Barkul Roll no 39 A</t>
  </si>
  <si>
    <t>shraddha kandle_64_A</t>
  </si>
  <si>
    <t>Shubham Shinde</t>
  </si>
  <si>
    <t>Sujit</t>
  </si>
  <si>
    <t>Vaibhavi Magar</t>
  </si>
  <si>
    <t>Vaishnavi kand</t>
  </si>
  <si>
    <t>vaishnavi sapate</t>
  </si>
  <si>
    <t>Avg: 1/1</t>
  </si>
  <si>
    <t>Process id</t>
  </si>
  <si>
    <t>Arrival Time</t>
  </si>
  <si>
    <t>Bust Time</t>
  </si>
  <si>
    <t>P1</t>
  </si>
  <si>
    <t>P2</t>
  </si>
  <si>
    <t>P3</t>
  </si>
  <si>
    <t>P4</t>
  </si>
  <si>
    <t>P5</t>
  </si>
  <si>
    <t>CT</t>
  </si>
  <si>
    <t>TAT</t>
  </si>
  <si>
    <t>WT</t>
  </si>
  <si>
    <t>TAT=CT-AT</t>
  </si>
  <si>
    <t>WT=TAT-BT</t>
  </si>
  <si>
    <t>p1</t>
  </si>
  <si>
    <t>p2</t>
  </si>
  <si>
    <t>p3</t>
  </si>
  <si>
    <t>p4</t>
  </si>
  <si>
    <t>p5</t>
  </si>
  <si>
    <t>Avg</t>
  </si>
  <si>
    <t>Example-1</t>
  </si>
  <si>
    <t>Example-2</t>
  </si>
  <si>
    <t>Example-3</t>
  </si>
  <si>
    <t>AT</t>
  </si>
  <si>
    <t>BT</t>
  </si>
  <si>
    <t>P-ID</t>
  </si>
  <si>
    <t>P1=5</t>
  </si>
  <si>
    <t>P2=10</t>
  </si>
  <si>
    <t>P3=2</t>
  </si>
  <si>
    <t>P4=1</t>
  </si>
  <si>
    <t>P5=4</t>
  </si>
  <si>
    <t>Action taken</t>
  </si>
  <si>
    <t xml:space="preserve">Time </t>
  </si>
  <si>
    <t>p1-p2-p3-p4-p5</t>
  </si>
  <si>
    <t>Available process</t>
  </si>
  <si>
    <t>p4 will contine for 1 sec</t>
  </si>
  <si>
    <t>p1-p2-p3-p5</t>
  </si>
  <si>
    <t>p1=5</t>
  </si>
  <si>
    <t>p2=10</t>
  </si>
  <si>
    <t>p4=1</t>
  </si>
  <si>
    <t>p3=2</t>
  </si>
  <si>
    <t>p5=4</t>
  </si>
  <si>
    <t>p3 for 1 sec</t>
  </si>
  <si>
    <t>p3=1</t>
  </si>
  <si>
    <t>p1-p2-p5</t>
  </si>
  <si>
    <t>p5=3</t>
  </si>
  <si>
    <t>p5 for 1 sec</t>
  </si>
  <si>
    <t>p5=2</t>
  </si>
  <si>
    <t>p5=1</t>
  </si>
  <si>
    <t>p1-p2</t>
  </si>
  <si>
    <t>p1 for 5 sec</t>
  </si>
  <si>
    <t>p2 for 10 sec</t>
  </si>
  <si>
    <t>Queue</t>
  </si>
  <si>
    <t>empty</t>
  </si>
  <si>
    <t>p1 execute for 1 sec</t>
  </si>
  <si>
    <t>p1=4</t>
  </si>
  <si>
    <t>p2-p1</t>
  </si>
  <si>
    <t>p2 execute for 1 sec</t>
  </si>
  <si>
    <t>p2=9</t>
  </si>
  <si>
    <t>p1-p3-p2</t>
  </si>
  <si>
    <t>p3-p2-p1</t>
  </si>
  <si>
    <t>p3 execute for 1 sec</t>
  </si>
  <si>
    <t>p2-p1-p3</t>
  </si>
  <si>
    <t>p2=8</t>
  </si>
  <si>
    <t>p1=3</t>
  </si>
  <si>
    <t>p1-p3-p4-p2</t>
  </si>
  <si>
    <t>p1=2</t>
  </si>
  <si>
    <t>p3-p4-p2-p1</t>
  </si>
  <si>
    <t>p4-p2-p1-p5</t>
  </si>
  <si>
    <t>p4 execute for 1 sec</t>
  </si>
  <si>
    <t>p2-p1-p5</t>
  </si>
  <si>
    <t>p2 execute for 8 sec</t>
  </si>
  <si>
    <t>p1-p5</t>
  </si>
  <si>
    <t>p1 execute for 2 sec</t>
  </si>
  <si>
    <t>p5 execute for 4 sec</t>
  </si>
  <si>
    <t>P1 execute for 1 sec</t>
  </si>
  <si>
    <t>p1 &amp; p2</t>
  </si>
  <si>
    <t>p1,p2 &amp; p3</t>
  </si>
  <si>
    <t>p1,p2 &amp; p4</t>
  </si>
  <si>
    <t>p1, p2</t>
  </si>
  <si>
    <t>p1=1</t>
  </si>
  <si>
    <t>p1,p2 &amp;p5</t>
  </si>
  <si>
    <t>p2 &amp; p5</t>
  </si>
  <si>
    <t>p2 execute for 10 sec</t>
  </si>
  <si>
    <t>p1,p2 &amp; p5</t>
  </si>
  <si>
    <t xml:space="preserve">p2 </t>
  </si>
  <si>
    <t>Priority</t>
  </si>
  <si>
    <t>p1,p2,p3,p4 &amp;p5</t>
  </si>
  <si>
    <t>p2=09</t>
  </si>
  <si>
    <t>p2=08</t>
  </si>
  <si>
    <t>p1,p3,p4 &amp;p5</t>
  </si>
  <si>
    <t>p1 execute for 5 sec</t>
  </si>
  <si>
    <t>p3,p4 &amp;p5</t>
  </si>
  <si>
    <t>p5 execute for 5 sec</t>
  </si>
  <si>
    <t>p4 &amp; p3</t>
  </si>
  <si>
    <t>p3 execute for 2 sec</t>
  </si>
  <si>
    <t>p1 executed for 1 sec</t>
  </si>
  <si>
    <t>p2 executed for 1 sec</t>
  </si>
  <si>
    <t>p2=7</t>
  </si>
  <si>
    <t>p2=6</t>
  </si>
  <si>
    <t>p1,p2,p3 &amp; p4</t>
  </si>
  <si>
    <t>p2=5</t>
  </si>
  <si>
    <t xml:space="preserve">p1,p2,p3,p4 </t>
  </si>
  <si>
    <t>p1,p2,p3,p4,p5</t>
  </si>
  <si>
    <t>p2 executed for 5 sec</t>
  </si>
  <si>
    <t>p1,p3,p4,p5</t>
  </si>
  <si>
    <t>p1 executed for 4 sec</t>
  </si>
  <si>
    <t>p3,p4,p5</t>
  </si>
  <si>
    <t>p3,p4</t>
  </si>
  <si>
    <t>p5 executed for 4 sec</t>
  </si>
  <si>
    <t>p4 executed for 1 sec</t>
  </si>
  <si>
    <t>p2=4</t>
  </si>
  <si>
    <t>time slice=1sec</t>
  </si>
  <si>
    <t>p1-p5-p2</t>
  </si>
  <si>
    <t>p5-p2-p1</t>
  </si>
  <si>
    <t>p5 execute for 1 sec</t>
  </si>
  <si>
    <t>p5-p2</t>
  </si>
  <si>
    <t>p2-p5</t>
  </si>
  <si>
    <t>p2 execute for 4 sec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</si>
</sst>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 applyNumberFormat="1"/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Fill="1" applyBorder="1"/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/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left" vertical="top"/>
    </xf>
    <xf numFmtId="0" fontId="0" fillId="0" borderId="0" xfId="0" applyNumberFormat="1" applyFill="1" applyBorder="1" applyAlignment="1">
      <alignment horizontal="right"/>
    </xf>
    <xf numFmtId="0" fontId="0" fillId="3" borderId="1" xfId="0" applyNumberFormat="1" applyFill="1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0" fillId="5" borderId="1" xfId="0" applyNumberFormat="1" applyFill="1" applyBorder="1"/>
    <xf numFmtId="0" fontId="0" fillId="0" borderId="0" xfId="0" applyNumberFormat="1"/>
    <xf numFmtId="0" fontId="0" fillId="0" borderId="2" xfId="0" applyNumberFormat="1" applyBorder="1"/>
    <xf numFmtId="0" fontId="0" fillId="0" borderId="0" xfId="0" applyNumberFormat="1" applyBorder="1"/>
    <xf numFmtId="0" fontId="0" fillId="0" borderId="3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0" borderId="0" xfId="0" applyNumberFormat="1"/>
    <xf numFmtId="0" fontId="0" fillId="6" borderId="0" xfId="0" applyNumberFormat="1" applyFill="1"/>
    <xf numFmtId="0" fontId="0" fillId="6" borderId="0" xfId="0" applyNumberFormat="1" applyFill="1" applyAlignment="1">
      <alignment horizontal="left"/>
    </xf>
    <xf numFmtId="0" fontId="0" fillId="6" borderId="1" xfId="0" applyNumberFormat="1" applyFill="1" applyBorder="1" applyAlignment="1">
      <alignment horizontal="center"/>
    </xf>
    <xf numFmtId="0" fontId="0" fillId="6" borderId="0" xfId="0" applyNumberFormat="1" applyFill="1" applyAlignment="1">
      <alignment horizontal="right"/>
    </xf>
    <xf numFmtId="0" fontId="0" fillId="6" borderId="0" xfId="0" applyNumberFormat="1" applyFill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6" borderId="1" xfId="0" applyNumberFormat="1" applyFill="1" applyBorder="1"/>
    <xf numFmtId="0" fontId="1" fillId="0" borderId="1" xfId="1" applyNumberFormat="1" applyBorder="1" applyAlignment="1" applyProtection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workbookViewId="0">
      <selection activeCell="M7" sqref="M7"/>
    </sheetView>
  </sheetViews>
  <sheetFormatPr defaultRowHeight="15.75"/>
  <sheetData>
    <row r="1" spans="1:3">
      <c r="A1" t="s">
        <v>0</v>
      </c>
    </row>
    <row r="3" spans="1:3">
      <c r="A3" t="s">
        <v>1</v>
      </c>
    </row>
    <row r="5" spans="1:3">
      <c r="A5" s="33"/>
      <c r="B5" s="33"/>
      <c r="C5" s="33"/>
    </row>
    <row r="6" spans="1:3">
      <c r="A6" t="s">
        <v>2</v>
      </c>
      <c r="B6" t="s">
        <v>3</v>
      </c>
      <c r="C6" t="s">
        <v>4</v>
      </c>
    </row>
    <row r="7" spans="1:3">
      <c r="A7" t="s">
        <v>5</v>
      </c>
      <c r="B7" t="s">
        <v>6</v>
      </c>
      <c r="C7" t="s">
        <v>7</v>
      </c>
    </row>
    <row r="8" spans="1:3">
      <c r="A8" t="s">
        <v>8</v>
      </c>
      <c r="B8" t="s">
        <v>6</v>
      </c>
      <c r="C8" t="s">
        <v>7</v>
      </c>
    </row>
    <row r="9" spans="1:3">
      <c r="A9" t="s">
        <v>9</v>
      </c>
      <c r="B9" t="s">
        <v>6</v>
      </c>
      <c r="C9" t="s">
        <v>7</v>
      </c>
    </row>
    <row r="10" spans="1:3">
      <c r="A10" t="s">
        <v>10</v>
      </c>
      <c r="B10" t="s">
        <v>6</v>
      </c>
      <c r="C10" t="s">
        <v>7</v>
      </c>
    </row>
    <row r="11" spans="1:3">
      <c r="A11" t="s">
        <v>11</v>
      </c>
      <c r="B11" t="s">
        <v>6</v>
      </c>
      <c r="C11" t="s">
        <v>7</v>
      </c>
    </row>
    <row r="12" spans="1:3">
      <c r="A12" t="s">
        <v>12</v>
      </c>
      <c r="B12" t="s">
        <v>6</v>
      </c>
      <c r="C12" t="s">
        <v>7</v>
      </c>
    </row>
    <row r="13" spans="1:3">
      <c r="A13" t="s">
        <v>13</v>
      </c>
      <c r="B13" t="s">
        <v>6</v>
      </c>
      <c r="C13" t="s">
        <v>7</v>
      </c>
    </row>
    <row r="14" spans="1:3">
      <c r="A14" t="s">
        <v>14</v>
      </c>
      <c r="B14" t="s">
        <v>6</v>
      </c>
      <c r="C14" t="s">
        <v>7</v>
      </c>
    </row>
    <row r="15" spans="1:3">
      <c r="A15" t="s">
        <v>15</v>
      </c>
      <c r="B15" t="s">
        <v>6</v>
      </c>
      <c r="C15" t="s">
        <v>7</v>
      </c>
    </row>
    <row r="16" spans="1:3">
      <c r="A16" t="s">
        <v>16</v>
      </c>
      <c r="B16" t="s">
        <v>6</v>
      </c>
      <c r="C16" t="s">
        <v>7</v>
      </c>
    </row>
    <row r="17" spans="1:3">
      <c r="A17" t="s">
        <v>17</v>
      </c>
      <c r="B17" t="s">
        <v>6</v>
      </c>
      <c r="C17" t="s">
        <v>7</v>
      </c>
    </row>
    <row r="18" spans="1:3">
      <c r="A18" t="s">
        <v>18</v>
      </c>
      <c r="B18" t="s">
        <v>6</v>
      </c>
      <c r="C18" t="s">
        <v>7</v>
      </c>
    </row>
    <row r="19" spans="1:3">
      <c r="A19" t="s">
        <v>19</v>
      </c>
      <c r="B19" t="s">
        <v>6</v>
      </c>
      <c r="C19" t="s">
        <v>7</v>
      </c>
    </row>
    <row r="20" spans="1:3">
      <c r="A20" t="s">
        <v>20</v>
      </c>
      <c r="B20" t="s">
        <v>6</v>
      </c>
      <c r="C20" t="s">
        <v>7</v>
      </c>
    </row>
    <row r="21" spans="1:3">
      <c r="A21" t="s">
        <v>21</v>
      </c>
      <c r="B21" t="s">
        <v>6</v>
      </c>
      <c r="C21" t="s">
        <v>7</v>
      </c>
    </row>
    <row r="22" spans="1:3">
      <c r="A22" t="s">
        <v>22</v>
      </c>
      <c r="B22" t="s">
        <v>6</v>
      </c>
      <c r="C22" t="s">
        <v>7</v>
      </c>
    </row>
    <row r="23" spans="1:3">
      <c r="A23" t="s">
        <v>23</v>
      </c>
      <c r="B23" t="s">
        <v>6</v>
      </c>
      <c r="C23" t="s">
        <v>7</v>
      </c>
    </row>
    <row r="24" spans="1:3">
      <c r="A24" t="s">
        <v>24</v>
      </c>
      <c r="B24" t="s">
        <v>6</v>
      </c>
      <c r="C24" t="s">
        <v>7</v>
      </c>
    </row>
    <row r="25" spans="1:3">
      <c r="A25" t="s">
        <v>25</v>
      </c>
      <c r="B25" t="s">
        <v>6</v>
      </c>
      <c r="C25" t="s">
        <v>7</v>
      </c>
    </row>
    <row r="26" spans="1:3">
      <c r="A26" t="s">
        <v>26</v>
      </c>
      <c r="B26" t="s">
        <v>6</v>
      </c>
      <c r="C26" t="s">
        <v>7</v>
      </c>
    </row>
    <row r="27" spans="1:3">
      <c r="A27" t="s">
        <v>27</v>
      </c>
      <c r="B27" t="s">
        <v>6</v>
      </c>
      <c r="C27" t="s">
        <v>7</v>
      </c>
    </row>
    <row r="28" spans="1:3">
      <c r="A28" t="s">
        <v>28</v>
      </c>
      <c r="B28" t="s">
        <v>6</v>
      </c>
      <c r="C28" t="s">
        <v>7</v>
      </c>
    </row>
    <row r="29" spans="1:3">
      <c r="A29" t="s">
        <v>29</v>
      </c>
      <c r="B29" t="s">
        <v>6</v>
      </c>
      <c r="C29" t="s">
        <v>7</v>
      </c>
    </row>
    <row r="30" spans="1:3">
      <c r="A30" t="s">
        <v>30</v>
      </c>
      <c r="B30" t="s">
        <v>6</v>
      </c>
      <c r="C30" t="s">
        <v>7</v>
      </c>
    </row>
    <row r="31" spans="1:3">
      <c r="A31" t="s">
        <v>31</v>
      </c>
      <c r="B31" t="s">
        <v>6</v>
      </c>
      <c r="C31" t="s">
        <v>7</v>
      </c>
    </row>
    <row r="32" spans="1:3">
      <c r="A32" t="s">
        <v>32</v>
      </c>
      <c r="B32" t="s">
        <v>6</v>
      </c>
      <c r="C32" t="s">
        <v>7</v>
      </c>
    </row>
    <row r="33" spans="1:3">
      <c r="A33" t="s">
        <v>33</v>
      </c>
      <c r="B33" t="s">
        <v>6</v>
      </c>
      <c r="C33" t="s">
        <v>7</v>
      </c>
    </row>
    <row r="34" spans="1:3">
      <c r="A34" t="s">
        <v>34</v>
      </c>
      <c r="B34" t="s">
        <v>6</v>
      </c>
      <c r="C34" t="s">
        <v>7</v>
      </c>
    </row>
    <row r="35" spans="1:3">
      <c r="A35" t="s">
        <v>35</v>
      </c>
      <c r="B35" t="s">
        <v>6</v>
      </c>
      <c r="C35" t="s">
        <v>7</v>
      </c>
    </row>
    <row r="36" spans="1:3">
      <c r="A36" t="s">
        <v>36</v>
      </c>
      <c r="B36" t="s">
        <v>6</v>
      </c>
      <c r="C36" t="s">
        <v>7</v>
      </c>
    </row>
    <row r="37" spans="1:3">
      <c r="A37" t="s">
        <v>37</v>
      </c>
      <c r="B37" t="s">
        <v>6</v>
      </c>
      <c r="C37" t="s">
        <v>7</v>
      </c>
    </row>
    <row r="38" spans="1:3">
      <c r="A38" t="s">
        <v>38</v>
      </c>
      <c r="B38" t="s">
        <v>6</v>
      </c>
      <c r="C38" t="s">
        <v>7</v>
      </c>
    </row>
    <row r="39" spans="1:3">
      <c r="A39" t="s">
        <v>39</v>
      </c>
      <c r="B39" t="s">
        <v>6</v>
      </c>
      <c r="C39" t="s">
        <v>7</v>
      </c>
    </row>
    <row r="40" spans="1:3">
      <c r="A40" t="s">
        <v>40</v>
      </c>
      <c r="B40" t="s">
        <v>6</v>
      </c>
      <c r="C40" t="s">
        <v>7</v>
      </c>
    </row>
    <row r="41" spans="1:3">
      <c r="A41" t="s">
        <v>41</v>
      </c>
      <c r="B41" t="s">
        <v>6</v>
      </c>
      <c r="C41" t="s">
        <v>7</v>
      </c>
    </row>
    <row r="42" spans="1:3">
      <c r="A42" t="s">
        <v>42</v>
      </c>
      <c r="B42" t="s">
        <v>6</v>
      </c>
      <c r="C42" t="s">
        <v>7</v>
      </c>
    </row>
    <row r="43" spans="1:3">
      <c r="A43" t="s">
        <v>43</v>
      </c>
      <c r="B43" t="s">
        <v>6</v>
      </c>
      <c r="C43" t="s">
        <v>7</v>
      </c>
    </row>
    <row r="44" spans="1:3">
      <c r="A44" t="s">
        <v>44</v>
      </c>
      <c r="B44" t="s">
        <v>6</v>
      </c>
      <c r="C44" t="s">
        <v>7</v>
      </c>
    </row>
    <row r="45" spans="1:3">
      <c r="A45" t="s">
        <v>45</v>
      </c>
      <c r="B45" t="s">
        <v>6</v>
      </c>
      <c r="C45" t="s">
        <v>7</v>
      </c>
    </row>
    <row r="46" spans="1:3">
      <c r="A46" t="s">
        <v>46</v>
      </c>
      <c r="B46" t="s">
        <v>6</v>
      </c>
      <c r="C46" t="s">
        <v>7</v>
      </c>
    </row>
    <row r="47" spans="1:3">
      <c r="A47" t="s">
        <v>47</v>
      </c>
      <c r="B47" t="s">
        <v>6</v>
      </c>
      <c r="C47" t="s">
        <v>7</v>
      </c>
    </row>
    <row r="48" spans="1:3">
      <c r="A48" t="s">
        <v>48</v>
      </c>
      <c r="B48" t="s">
        <v>6</v>
      </c>
      <c r="C48" t="s">
        <v>7</v>
      </c>
    </row>
    <row r="49" spans="1:3">
      <c r="A49" t="s">
        <v>49</v>
      </c>
      <c r="B49" t="s">
        <v>6</v>
      </c>
      <c r="C49" t="s">
        <v>7</v>
      </c>
    </row>
    <row r="50" spans="1:3">
      <c r="A50" t="s">
        <v>50</v>
      </c>
      <c r="B50" t="s">
        <v>6</v>
      </c>
      <c r="C50" t="s">
        <v>7</v>
      </c>
    </row>
    <row r="51" spans="1:3">
      <c r="A51" t="s">
        <v>51</v>
      </c>
      <c r="B51" t="s">
        <v>6</v>
      </c>
      <c r="C51" t="s">
        <v>7</v>
      </c>
    </row>
    <row r="52" spans="1:3">
      <c r="A52" t="s">
        <v>52</v>
      </c>
      <c r="B52" t="s">
        <v>6</v>
      </c>
      <c r="C52" t="s">
        <v>7</v>
      </c>
    </row>
    <row r="53" spans="1:3">
      <c r="A53" t="s">
        <v>53</v>
      </c>
      <c r="B53" t="s">
        <v>6</v>
      </c>
      <c r="C53" t="s">
        <v>7</v>
      </c>
    </row>
    <row r="54" spans="1:3">
      <c r="A54" t="s">
        <v>54</v>
      </c>
      <c r="B54" t="s">
        <v>6</v>
      </c>
      <c r="C54" t="s">
        <v>7</v>
      </c>
    </row>
    <row r="55" spans="1:3">
      <c r="A55" t="s">
        <v>55</v>
      </c>
      <c r="B55" t="s">
        <v>6</v>
      </c>
      <c r="C55" t="s">
        <v>7</v>
      </c>
    </row>
    <row r="56" spans="1:3">
      <c r="A56" t="s">
        <v>56</v>
      </c>
      <c r="B56" t="s">
        <v>6</v>
      </c>
      <c r="C56" t="s">
        <v>7</v>
      </c>
    </row>
    <row r="57" spans="1:3">
      <c r="A57" t="s">
        <v>57</v>
      </c>
      <c r="B57" t="s">
        <v>6</v>
      </c>
      <c r="C57" t="s">
        <v>7</v>
      </c>
    </row>
    <row r="58" spans="1:3">
      <c r="A58" t="s">
        <v>58</v>
      </c>
      <c r="B58" t="s">
        <v>6</v>
      </c>
      <c r="C58" t="s">
        <v>7</v>
      </c>
    </row>
    <row r="59" spans="1:3">
      <c r="A59" t="s">
        <v>59</v>
      </c>
      <c r="B59" t="s">
        <v>6</v>
      </c>
      <c r="C59" t="s">
        <v>7</v>
      </c>
    </row>
    <row r="60" spans="1:3">
      <c r="A60" t="s">
        <v>60</v>
      </c>
      <c r="B60" t="s">
        <v>6</v>
      </c>
      <c r="C60" t="s">
        <v>7</v>
      </c>
    </row>
    <row r="61" spans="1:3">
      <c r="A61" t="s">
        <v>61</v>
      </c>
      <c r="B61" t="s">
        <v>6</v>
      </c>
      <c r="C61" t="s">
        <v>7</v>
      </c>
    </row>
    <row r="62" spans="1:3">
      <c r="A62" t="s">
        <v>62</v>
      </c>
      <c r="B62" t="s">
        <v>6</v>
      </c>
      <c r="C62" t="s">
        <v>7</v>
      </c>
    </row>
    <row r="63" spans="1:3">
      <c r="A63" t="s">
        <v>63</v>
      </c>
      <c r="B63" t="s">
        <v>6</v>
      </c>
      <c r="C63" t="s">
        <v>7</v>
      </c>
    </row>
    <row r="64" spans="1:3">
      <c r="A64" t="s">
        <v>64</v>
      </c>
      <c r="B64" t="s">
        <v>6</v>
      </c>
      <c r="C64" t="s">
        <v>7</v>
      </c>
    </row>
    <row r="65" spans="1:3">
      <c r="A65" t="s">
        <v>65</v>
      </c>
      <c r="B65" t="s">
        <v>6</v>
      </c>
      <c r="C65" t="s">
        <v>7</v>
      </c>
    </row>
    <row r="66" spans="1:3">
      <c r="A66" t="s">
        <v>66</v>
      </c>
      <c r="B66" t="s">
        <v>6</v>
      </c>
      <c r="C66" t="s">
        <v>7</v>
      </c>
    </row>
    <row r="67" spans="1:3">
      <c r="A67" t="s">
        <v>67</v>
      </c>
      <c r="B67" t="s">
        <v>6</v>
      </c>
      <c r="C67" t="s">
        <v>7</v>
      </c>
    </row>
    <row r="68" spans="1:3">
      <c r="A68" t="s">
        <v>68</v>
      </c>
      <c r="B68" t="s">
        <v>6</v>
      </c>
      <c r="C68" t="s">
        <v>7</v>
      </c>
    </row>
    <row r="69" spans="1:3">
      <c r="A69" t="s">
        <v>69</v>
      </c>
      <c r="B69" t="s">
        <v>6</v>
      </c>
      <c r="C69" t="s">
        <v>7</v>
      </c>
    </row>
    <row r="70" spans="1:3">
      <c r="A70" t="s">
        <v>70</v>
      </c>
      <c r="B70" t="s">
        <v>6</v>
      </c>
      <c r="C70" t="s">
        <v>7</v>
      </c>
    </row>
    <row r="71" spans="1:3">
      <c r="A71" t="s">
        <v>71</v>
      </c>
      <c r="B71" t="s">
        <v>6</v>
      </c>
      <c r="C71" t="s">
        <v>7</v>
      </c>
    </row>
    <row r="72" spans="1:3">
      <c r="A72" t="s">
        <v>72</v>
      </c>
      <c r="B72" t="s">
        <v>6</v>
      </c>
      <c r="C72" t="s">
        <v>7</v>
      </c>
    </row>
    <row r="73" spans="1:3">
      <c r="A73" t="s">
        <v>73</v>
      </c>
      <c r="B73" t="s">
        <v>6</v>
      </c>
      <c r="C73" t="s">
        <v>7</v>
      </c>
    </row>
    <row r="74" spans="1:3">
      <c r="A74" t="s">
        <v>74</v>
      </c>
      <c r="B74" t="s">
        <v>6</v>
      </c>
      <c r="C74" t="s">
        <v>7</v>
      </c>
    </row>
    <row r="75" spans="1:3">
      <c r="A75" t="s">
        <v>75</v>
      </c>
      <c r="B75" t="s">
        <v>6</v>
      </c>
      <c r="C75" t="s">
        <v>7</v>
      </c>
    </row>
    <row r="76" spans="1:3">
      <c r="A76" t="s">
        <v>76</v>
      </c>
      <c r="B76" t="s">
        <v>6</v>
      </c>
      <c r="C76" t="s">
        <v>7</v>
      </c>
    </row>
    <row r="77" spans="1:3">
      <c r="A77" t="s">
        <v>77</v>
      </c>
      <c r="B77" t="s">
        <v>6</v>
      </c>
      <c r="C77" t="s">
        <v>7</v>
      </c>
    </row>
    <row r="78" spans="1:3">
      <c r="A78" t="s">
        <v>78</v>
      </c>
      <c r="B78" t="s">
        <v>6</v>
      </c>
      <c r="C78" t="s">
        <v>7</v>
      </c>
    </row>
    <row r="79" spans="1:3">
      <c r="A79" t="s">
        <v>79</v>
      </c>
      <c r="B79" t="s">
        <v>6</v>
      </c>
      <c r="C79" t="s">
        <v>7</v>
      </c>
    </row>
    <row r="80" spans="1:3">
      <c r="A80" t="s">
        <v>80</v>
      </c>
      <c r="B80" t="s">
        <v>6</v>
      </c>
      <c r="C80" t="s">
        <v>7</v>
      </c>
    </row>
    <row r="81" spans="1:3">
      <c r="A81" t="s">
        <v>81</v>
      </c>
      <c r="B81" t="s">
        <v>6</v>
      </c>
      <c r="C81" t="s">
        <v>7</v>
      </c>
    </row>
    <row r="82" spans="1:3">
      <c r="A82" t="s">
        <v>82</v>
      </c>
      <c r="B82" t="s">
        <v>6</v>
      </c>
      <c r="C82" t="s">
        <v>7</v>
      </c>
    </row>
    <row r="83" spans="1:3">
      <c r="A83" t="s">
        <v>83</v>
      </c>
      <c r="B83" t="s">
        <v>6</v>
      </c>
      <c r="C83" t="s">
        <v>7</v>
      </c>
    </row>
    <row r="84" spans="1:3">
      <c r="A84" t="s">
        <v>84</v>
      </c>
      <c r="B84" t="s">
        <v>6</v>
      </c>
      <c r="C84" t="s">
        <v>7</v>
      </c>
    </row>
    <row r="85" spans="1:3">
      <c r="A85" t="s">
        <v>85</v>
      </c>
      <c r="B85" t="s">
        <v>6</v>
      </c>
      <c r="C85" t="s">
        <v>7</v>
      </c>
    </row>
    <row r="86" spans="1:3">
      <c r="A86" t="s">
        <v>86</v>
      </c>
      <c r="B86" t="s">
        <v>6</v>
      </c>
      <c r="C86" t="s">
        <v>7</v>
      </c>
    </row>
    <row r="87" spans="1:3">
      <c r="A87" t="s">
        <v>87</v>
      </c>
      <c r="B87" t="s">
        <v>6</v>
      </c>
      <c r="C87" t="s">
        <v>7</v>
      </c>
    </row>
    <row r="88" spans="1:3">
      <c r="A88" t="s">
        <v>88</v>
      </c>
      <c r="B88" t="s">
        <v>6</v>
      </c>
      <c r="C88" t="s">
        <v>7</v>
      </c>
    </row>
    <row r="89" spans="1:3">
      <c r="A89" t="s">
        <v>89</v>
      </c>
      <c r="B89" t="s">
        <v>6</v>
      </c>
      <c r="C89" t="s">
        <v>7</v>
      </c>
    </row>
    <row r="90" spans="1:3">
      <c r="A90" t="s">
        <v>90</v>
      </c>
      <c r="B90" t="s">
        <v>6</v>
      </c>
      <c r="C90" t="s">
        <v>7</v>
      </c>
    </row>
    <row r="91" spans="1:3">
      <c r="A91" t="s">
        <v>91</v>
      </c>
      <c r="B91" t="s">
        <v>6</v>
      </c>
      <c r="C91" t="s">
        <v>7</v>
      </c>
    </row>
    <row r="92" spans="1:3">
      <c r="A92" t="s">
        <v>92</v>
      </c>
      <c r="B92" t="s">
        <v>6</v>
      </c>
      <c r="C92" t="s">
        <v>7</v>
      </c>
    </row>
    <row r="93" spans="1:3">
      <c r="A93" t="s">
        <v>93</v>
      </c>
      <c r="B93" t="s">
        <v>6</v>
      </c>
      <c r="C93" t="s">
        <v>7</v>
      </c>
    </row>
    <row r="94" spans="1:3">
      <c r="A94" t="s">
        <v>94</v>
      </c>
      <c r="B94" t="s">
        <v>6</v>
      </c>
      <c r="C94" t="s">
        <v>7</v>
      </c>
    </row>
    <row r="95" spans="1:3">
      <c r="A95" t="s">
        <v>95</v>
      </c>
      <c r="B95" t="s">
        <v>6</v>
      </c>
      <c r="C95" t="s">
        <v>7</v>
      </c>
    </row>
    <row r="96" spans="1:3">
      <c r="B96" t="s">
        <v>96</v>
      </c>
    </row>
  </sheetData>
  <mergeCells count="2">
    <mergeCell ref="A5:B5"/>
    <mergeCell ref="C5"/>
  </mergeCells>
  <pageMargins left="0.7" right="0.7" top="0.75" bottom="0.75" header="0.3" footer="0.3"/>
  <ignoredErrors>
    <ignoredError sqref="A1:C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tabSelected="1" topLeftCell="A32" workbookViewId="0">
      <selection activeCell="G59" sqref="G59"/>
    </sheetView>
  </sheetViews>
  <sheetFormatPr defaultRowHeight="15.75"/>
  <cols>
    <col min="3" max="3" width="10.625" bestFit="1" customWidth="1"/>
    <col min="9" max="9" width="10.875" customWidth="1"/>
  </cols>
  <sheetData>
    <row r="1" spans="1:10">
      <c r="A1" s="1" t="s">
        <v>116</v>
      </c>
    </row>
    <row r="2" spans="1:10">
      <c r="B2" s="2" t="s">
        <v>97</v>
      </c>
      <c r="C2" s="2" t="s">
        <v>98</v>
      </c>
      <c r="D2" s="2" t="s">
        <v>99</v>
      </c>
      <c r="E2" s="3" t="s">
        <v>105</v>
      </c>
      <c r="F2" s="3" t="s">
        <v>106</v>
      </c>
      <c r="G2" s="3" t="s">
        <v>107</v>
      </c>
    </row>
    <row r="3" spans="1:10">
      <c r="B3" s="2" t="s">
        <v>100</v>
      </c>
      <c r="C3" s="2">
        <v>0</v>
      </c>
      <c r="D3" s="2">
        <v>5</v>
      </c>
      <c r="E3" s="2">
        <v>5</v>
      </c>
      <c r="F3" s="2">
        <f>E3-C3</f>
        <v>5</v>
      </c>
      <c r="G3" s="2">
        <f>F3-D3</f>
        <v>0</v>
      </c>
      <c r="I3" t="s">
        <v>108</v>
      </c>
    </row>
    <row r="4" spans="1:10">
      <c r="B4" s="2" t="s">
        <v>101</v>
      </c>
      <c r="C4" s="2">
        <v>0</v>
      </c>
      <c r="D4" s="2">
        <v>10</v>
      </c>
      <c r="E4" s="2">
        <v>15</v>
      </c>
      <c r="F4" s="2">
        <f t="shared" ref="F4:F7" si="0">E4-C4</f>
        <v>15</v>
      </c>
      <c r="G4" s="2">
        <f t="shared" ref="G4:G7" si="1">F4-D4</f>
        <v>5</v>
      </c>
      <c r="I4" t="s">
        <v>109</v>
      </c>
    </row>
    <row r="5" spans="1:10">
      <c r="B5" s="2" t="s">
        <v>102</v>
      </c>
      <c r="C5" s="2">
        <v>0</v>
      </c>
      <c r="D5" s="2">
        <v>2</v>
      </c>
      <c r="E5" s="2">
        <v>17</v>
      </c>
      <c r="F5" s="2">
        <f t="shared" si="0"/>
        <v>17</v>
      </c>
      <c r="G5" s="2">
        <f t="shared" si="1"/>
        <v>15</v>
      </c>
    </row>
    <row r="6" spans="1:10">
      <c r="B6" s="2" t="s">
        <v>103</v>
      </c>
      <c r="C6" s="2">
        <v>0</v>
      </c>
      <c r="D6" s="2">
        <v>1</v>
      </c>
      <c r="E6" s="2">
        <v>18</v>
      </c>
      <c r="F6" s="2">
        <f t="shared" si="0"/>
        <v>18</v>
      </c>
      <c r="G6" s="2">
        <f t="shared" si="1"/>
        <v>17</v>
      </c>
    </row>
    <row r="7" spans="1:10">
      <c r="B7" s="2" t="s">
        <v>104</v>
      </c>
      <c r="C7" s="2">
        <v>0</v>
      </c>
      <c r="D7" s="2">
        <v>4</v>
      </c>
      <c r="E7" s="2">
        <v>22</v>
      </c>
      <c r="F7" s="2">
        <f t="shared" si="0"/>
        <v>22</v>
      </c>
      <c r="G7" s="2">
        <f t="shared" si="1"/>
        <v>18</v>
      </c>
    </row>
    <row r="8" spans="1:10">
      <c r="E8" t="s">
        <v>115</v>
      </c>
      <c r="F8" s="3">
        <f>SUM(F3:F7)/5</f>
        <v>15.4</v>
      </c>
      <c r="G8" s="3">
        <f>SUM(G3:G7)/5</f>
        <v>11</v>
      </c>
    </row>
    <row r="10" spans="1:10">
      <c r="B10" s="4">
        <v>0</v>
      </c>
      <c r="C10" s="4">
        <v>5</v>
      </c>
      <c r="D10" s="4">
        <v>15</v>
      </c>
      <c r="E10" s="4">
        <v>17</v>
      </c>
      <c r="F10" s="4">
        <v>18</v>
      </c>
      <c r="G10" s="4">
        <v>22</v>
      </c>
      <c r="H10" s="4"/>
      <c r="I10" s="4"/>
      <c r="J10" s="4"/>
    </row>
    <row r="11" spans="1:10"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114</v>
      </c>
      <c r="G11" s="5"/>
      <c r="H11" s="5"/>
      <c r="I11" s="5"/>
      <c r="J11" s="5"/>
    </row>
    <row r="12" spans="1:10">
      <c r="A12" s="6" t="s">
        <v>110</v>
      </c>
      <c r="B12" s="6" t="s">
        <v>111</v>
      </c>
      <c r="C12" s="6" t="s">
        <v>112</v>
      </c>
      <c r="D12" s="6" t="s">
        <v>113</v>
      </c>
      <c r="E12" s="6" t="s">
        <v>114</v>
      </c>
      <c r="F12" s="4"/>
      <c r="G12" s="4"/>
      <c r="H12" s="4"/>
      <c r="I12" s="4"/>
      <c r="J12" s="4"/>
    </row>
    <row r="13" spans="1:10">
      <c r="A13" s="6" t="s">
        <v>111</v>
      </c>
      <c r="B13" s="6" t="s">
        <v>112</v>
      </c>
      <c r="C13" s="6" t="s">
        <v>113</v>
      </c>
      <c r="D13" s="6" t="s">
        <v>114</v>
      </c>
    </row>
    <row r="14" spans="1:10">
      <c r="A14" s="6" t="s">
        <v>112</v>
      </c>
      <c r="B14" s="6" t="s">
        <v>113</v>
      </c>
      <c r="C14" s="6" t="s">
        <v>114</v>
      </c>
    </row>
    <row r="15" spans="1:10">
      <c r="A15" s="6" t="s">
        <v>113</v>
      </c>
      <c r="B15" s="6" t="s">
        <v>114</v>
      </c>
    </row>
    <row r="16" spans="1:10">
      <c r="A16" s="6" t="s">
        <v>114</v>
      </c>
    </row>
    <row r="18" spans="1:11">
      <c r="A18" s="8" t="s">
        <v>117</v>
      </c>
    </row>
    <row r="19" spans="1:11">
      <c r="B19" s="2" t="s">
        <v>97</v>
      </c>
      <c r="C19" s="2" t="s">
        <v>98</v>
      </c>
      <c r="D19" s="2" t="s">
        <v>99</v>
      </c>
      <c r="E19" s="3" t="s">
        <v>105</v>
      </c>
      <c r="F19" s="3" t="s">
        <v>106</v>
      </c>
      <c r="G19" s="3" t="s">
        <v>107</v>
      </c>
    </row>
    <row r="20" spans="1:11">
      <c r="B20" s="2" t="s">
        <v>100</v>
      </c>
      <c r="C20" s="2">
        <v>1</v>
      </c>
      <c r="D20" s="2">
        <v>5</v>
      </c>
      <c r="E20" s="2">
        <v>6</v>
      </c>
      <c r="F20" s="2">
        <f>E20-C20</f>
        <v>5</v>
      </c>
      <c r="G20" s="2">
        <f>F20-D20</f>
        <v>0</v>
      </c>
    </row>
    <row r="21" spans="1:11">
      <c r="B21" s="2" t="s">
        <v>101</v>
      </c>
      <c r="C21" s="2">
        <v>2</v>
      </c>
      <c r="D21" s="2">
        <v>10</v>
      </c>
      <c r="E21" s="2">
        <v>16</v>
      </c>
      <c r="F21" s="2">
        <f t="shared" ref="F21:F24" si="2">E21-C21</f>
        <v>14</v>
      </c>
      <c r="G21" s="2">
        <f t="shared" ref="G21:G24" si="3">F21-D21</f>
        <v>4</v>
      </c>
    </row>
    <row r="22" spans="1:11">
      <c r="B22" s="2" t="s">
        <v>102</v>
      </c>
      <c r="C22" s="2">
        <v>3</v>
      </c>
      <c r="D22" s="2">
        <v>2</v>
      </c>
      <c r="E22" s="2">
        <v>18</v>
      </c>
      <c r="F22" s="2">
        <f t="shared" si="2"/>
        <v>15</v>
      </c>
      <c r="G22" s="2">
        <f t="shared" si="3"/>
        <v>13</v>
      </c>
    </row>
    <row r="23" spans="1:11">
      <c r="B23" s="2" t="s">
        <v>103</v>
      </c>
      <c r="C23" s="2">
        <v>6</v>
      </c>
      <c r="D23" s="2">
        <v>1</v>
      </c>
      <c r="E23" s="2">
        <v>19</v>
      </c>
      <c r="F23" s="2">
        <f t="shared" si="2"/>
        <v>13</v>
      </c>
      <c r="G23" s="2">
        <f t="shared" si="3"/>
        <v>12</v>
      </c>
    </row>
    <row r="24" spans="1:11">
      <c r="B24" s="2" t="s">
        <v>104</v>
      </c>
      <c r="C24" s="2">
        <v>8</v>
      </c>
      <c r="D24" s="2">
        <v>4</v>
      </c>
      <c r="E24" s="2">
        <v>23</v>
      </c>
      <c r="F24" s="2">
        <f t="shared" si="2"/>
        <v>15</v>
      </c>
      <c r="G24" s="2">
        <f t="shared" si="3"/>
        <v>11</v>
      </c>
    </row>
    <row r="25" spans="1:11">
      <c r="B25" s="1"/>
      <c r="C25" s="1"/>
      <c r="D25" s="1"/>
      <c r="E25" s="1" t="s">
        <v>115</v>
      </c>
      <c r="F25" s="2">
        <f>SUM(F20:F24)/5</f>
        <v>12.4</v>
      </c>
      <c r="G25" s="2">
        <f>SUM(G20:G24)/5</f>
        <v>8</v>
      </c>
    </row>
    <row r="27" spans="1:11">
      <c r="B27" s="4">
        <v>0</v>
      </c>
      <c r="C27" s="4">
        <v>1</v>
      </c>
      <c r="D27" s="4">
        <v>6</v>
      </c>
      <c r="E27" s="4">
        <v>16</v>
      </c>
      <c r="F27" s="4">
        <v>18</v>
      </c>
      <c r="G27" s="4">
        <v>19</v>
      </c>
      <c r="H27" s="4">
        <v>23</v>
      </c>
      <c r="I27" s="4"/>
      <c r="J27" s="4"/>
      <c r="K27" s="4"/>
    </row>
    <row r="28" spans="1:11">
      <c r="B28" s="10"/>
      <c r="C28" s="5" t="s">
        <v>100</v>
      </c>
      <c r="D28" s="5" t="s">
        <v>101</v>
      </c>
      <c r="E28" s="5" t="s">
        <v>102</v>
      </c>
      <c r="F28" s="5" t="s">
        <v>103</v>
      </c>
      <c r="G28" s="5" t="s">
        <v>104</v>
      </c>
      <c r="H28" s="5"/>
      <c r="I28" s="5"/>
      <c r="J28" s="5"/>
      <c r="K28" s="5"/>
    </row>
    <row r="29" spans="1:11">
      <c r="B29" s="6" t="s">
        <v>100</v>
      </c>
      <c r="C29" s="6" t="s">
        <v>101</v>
      </c>
      <c r="D29" s="6" t="s">
        <v>102</v>
      </c>
      <c r="E29" s="6" t="s">
        <v>103</v>
      </c>
      <c r="F29" s="6" t="s">
        <v>104</v>
      </c>
      <c r="G29" s="9"/>
      <c r="H29" s="9"/>
      <c r="I29" s="9"/>
      <c r="J29" s="9"/>
      <c r="K29" s="9"/>
    </row>
    <row r="30" spans="1:11">
      <c r="B30" s="6"/>
      <c r="C30" s="6" t="s">
        <v>102</v>
      </c>
      <c r="D30" s="6" t="s">
        <v>103</v>
      </c>
      <c r="E30" s="13" t="s">
        <v>104</v>
      </c>
      <c r="F30" s="6"/>
      <c r="G30" s="9"/>
      <c r="H30" s="9"/>
      <c r="I30" s="9"/>
      <c r="J30" s="9"/>
      <c r="K30" s="9"/>
    </row>
    <row r="31" spans="1:11">
      <c r="B31" s="6"/>
      <c r="C31" s="13" t="s">
        <v>103</v>
      </c>
      <c r="D31" s="13" t="s">
        <v>104</v>
      </c>
      <c r="E31" s="6"/>
      <c r="F31" s="6"/>
      <c r="G31" s="9"/>
      <c r="H31" s="9"/>
      <c r="I31" s="9"/>
      <c r="J31" s="9"/>
      <c r="K31" s="9"/>
    </row>
    <row r="32" spans="1:11">
      <c r="B32" s="6"/>
      <c r="C32" s="6"/>
      <c r="D32" s="6"/>
      <c r="E32" s="6"/>
      <c r="F32" s="6"/>
      <c r="G32" s="9"/>
      <c r="H32" s="9"/>
      <c r="I32" s="9"/>
      <c r="J32" s="9"/>
      <c r="K32" s="9"/>
    </row>
    <row r="34" spans="1:11">
      <c r="A34" s="1" t="s">
        <v>118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2" t="s">
        <v>97</v>
      </c>
      <c r="C35" s="2" t="s">
        <v>98</v>
      </c>
      <c r="D35" s="2" t="s">
        <v>99</v>
      </c>
      <c r="E35" s="11" t="s">
        <v>121</v>
      </c>
      <c r="F35" s="11" t="s">
        <v>119</v>
      </c>
      <c r="G35" s="11" t="s">
        <v>120</v>
      </c>
      <c r="H35" s="3" t="s">
        <v>105</v>
      </c>
      <c r="I35" s="3" t="s">
        <v>106</v>
      </c>
      <c r="J35" s="3" t="s">
        <v>107</v>
      </c>
      <c r="K35" s="1"/>
    </row>
    <row r="36" spans="1:11">
      <c r="A36" s="1"/>
      <c r="B36" s="2" t="s">
        <v>100</v>
      </c>
      <c r="C36" s="2">
        <v>4</v>
      </c>
      <c r="D36" s="2">
        <v>5</v>
      </c>
      <c r="E36" s="11" t="s">
        <v>102</v>
      </c>
      <c r="F36" s="11">
        <v>0</v>
      </c>
      <c r="G36" s="11">
        <v>2</v>
      </c>
      <c r="H36" s="2">
        <v>2</v>
      </c>
      <c r="I36" s="2">
        <f>H36-F36</f>
        <v>2</v>
      </c>
      <c r="J36" s="2">
        <f>I36-G36</f>
        <v>0</v>
      </c>
      <c r="K36" s="1"/>
    </row>
    <row r="37" spans="1:11">
      <c r="A37" s="1"/>
      <c r="B37" s="2" t="s">
        <v>101</v>
      </c>
      <c r="C37" s="2">
        <v>4</v>
      </c>
      <c r="D37" s="2">
        <v>10</v>
      </c>
      <c r="E37" s="11" t="s">
        <v>103</v>
      </c>
      <c r="F37" s="11">
        <v>3</v>
      </c>
      <c r="G37" s="11">
        <v>1</v>
      </c>
      <c r="H37" s="2">
        <v>4</v>
      </c>
      <c r="I37" s="2">
        <f t="shared" ref="I37:I40" si="4">H37-F37</f>
        <v>1</v>
      </c>
      <c r="J37" s="2">
        <f t="shared" ref="J37:J40" si="5">I37-G37</f>
        <v>0</v>
      </c>
      <c r="K37" s="1"/>
    </row>
    <row r="38" spans="1:11">
      <c r="A38" s="1"/>
      <c r="B38" s="2" t="s">
        <v>102</v>
      </c>
      <c r="C38" s="2">
        <v>0</v>
      </c>
      <c r="D38" s="2">
        <v>2</v>
      </c>
      <c r="E38" s="11" t="s">
        <v>100</v>
      </c>
      <c r="F38" s="11">
        <v>4</v>
      </c>
      <c r="G38" s="11">
        <v>5</v>
      </c>
      <c r="H38" s="2">
        <v>9</v>
      </c>
      <c r="I38" s="2">
        <f t="shared" si="4"/>
        <v>5</v>
      </c>
      <c r="J38" s="2">
        <f t="shared" si="5"/>
        <v>0</v>
      </c>
      <c r="K38" s="1"/>
    </row>
    <row r="39" spans="1:11">
      <c r="A39" s="1"/>
      <c r="B39" s="2" t="s">
        <v>103</v>
      </c>
      <c r="C39" s="2">
        <v>3</v>
      </c>
      <c r="D39" s="2">
        <v>1</v>
      </c>
      <c r="E39" s="11" t="s">
        <v>101</v>
      </c>
      <c r="F39" s="11">
        <v>4</v>
      </c>
      <c r="G39" s="11">
        <v>10</v>
      </c>
      <c r="H39" s="2">
        <v>19</v>
      </c>
      <c r="I39" s="2">
        <f t="shared" si="4"/>
        <v>15</v>
      </c>
      <c r="J39" s="2">
        <f t="shared" si="5"/>
        <v>5</v>
      </c>
      <c r="K39" s="1"/>
    </row>
    <row r="40" spans="1:11">
      <c r="A40" s="1"/>
      <c r="B40" s="2" t="s">
        <v>104</v>
      </c>
      <c r="C40" s="2">
        <v>8</v>
      </c>
      <c r="D40" s="2">
        <v>4</v>
      </c>
      <c r="E40" s="11" t="s">
        <v>104</v>
      </c>
      <c r="F40" s="11">
        <v>8</v>
      </c>
      <c r="G40" s="11">
        <v>4</v>
      </c>
      <c r="H40" s="2">
        <v>23</v>
      </c>
      <c r="I40" s="2">
        <f t="shared" si="4"/>
        <v>15</v>
      </c>
      <c r="J40" s="2">
        <f t="shared" si="5"/>
        <v>11</v>
      </c>
      <c r="K40" s="1"/>
    </row>
    <row r="41" spans="1:11">
      <c r="A41" s="1"/>
      <c r="B41" s="1"/>
      <c r="C41" s="1"/>
      <c r="D41" s="1"/>
      <c r="F41" s="1"/>
      <c r="G41" s="1"/>
      <c r="H41" s="1" t="s">
        <v>115</v>
      </c>
      <c r="I41" s="2">
        <f>SUM(I36:I40)/5</f>
        <v>7.6</v>
      </c>
      <c r="J41" s="2">
        <f>SUM(J36:J40)/5</f>
        <v>3.2</v>
      </c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2">
        <v>0</v>
      </c>
      <c r="C43" s="12">
        <v>2</v>
      </c>
      <c r="D43" s="12">
        <v>3</v>
      </c>
      <c r="E43" s="12">
        <v>4</v>
      </c>
      <c r="F43" s="12">
        <v>9</v>
      </c>
      <c r="G43" s="12">
        <v>19</v>
      </c>
      <c r="H43" s="12">
        <v>23</v>
      </c>
      <c r="I43" s="12"/>
      <c r="J43" s="12"/>
      <c r="K43" s="4"/>
    </row>
    <row r="44" spans="1:11">
      <c r="A44" s="1"/>
      <c r="B44" s="5" t="s">
        <v>102</v>
      </c>
      <c r="C44" s="10"/>
      <c r="D44" s="5" t="s">
        <v>103</v>
      </c>
      <c r="E44" s="5" t="s">
        <v>100</v>
      </c>
      <c r="F44" s="5" t="s">
        <v>101</v>
      </c>
      <c r="G44" s="5" t="s">
        <v>104</v>
      </c>
      <c r="H44" s="5"/>
      <c r="I44" s="5"/>
      <c r="J44" s="5"/>
      <c r="K44" s="5"/>
    </row>
    <row r="45" spans="1:11">
      <c r="A45" s="6" t="s">
        <v>102</v>
      </c>
      <c r="B45" s="6"/>
      <c r="C45" s="6" t="s">
        <v>103</v>
      </c>
      <c r="D45" s="6" t="s">
        <v>100</v>
      </c>
      <c r="E45" s="6" t="s">
        <v>101</v>
      </c>
      <c r="F45" s="6" t="s">
        <v>104</v>
      </c>
      <c r="G45" s="6"/>
      <c r="H45" s="6"/>
      <c r="I45" s="6"/>
      <c r="J45" s="6"/>
      <c r="K45" s="6"/>
    </row>
    <row r="46" spans="1:11">
      <c r="A46" s="6"/>
      <c r="B46" s="6"/>
      <c r="C46" s="6"/>
      <c r="D46" s="6" t="s">
        <v>101</v>
      </c>
      <c r="E46" s="6" t="s">
        <v>104</v>
      </c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topLeftCell="A22" workbookViewId="0">
      <selection activeCell="A34" sqref="A34:H41"/>
    </sheetView>
  </sheetViews>
  <sheetFormatPr defaultRowHeight="15.75"/>
  <cols>
    <col min="1" max="2" width="9" style="1"/>
    <col min="3" max="3" width="10.625" style="1" bestFit="1" customWidth="1"/>
    <col min="4" max="8" width="9" style="1"/>
    <col min="9" max="9" width="10.875" style="1" customWidth="1"/>
    <col min="10" max="16384" width="9" style="1"/>
  </cols>
  <sheetData>
    <row r="1" spans="1:10">
      <c r="A1" s="1" t="s">
        <v>116</v>
      </c>
    </row>
    <row r="2" spans="1:10">
      <c r="B2" s="2" t="s">
        <v>97</v>
      </c>
      <c r="C2" s="2" t="s">
        <v>98</v>
      </c>
      <c r="D2" s="2" t="s">
        <v>99</v>
      </c>
      <c r="E2" s="3" t="s">
        <v>105</v>
      </c>
      <c r="F2" s="3" t="s">
        <v>106</v>
      </c>
      <c r="G2" s="3" t="s">
        <v>107</v>
      </c>
    </row>
    <row r="3" spans="1:10">
      <c r="B3" s="2" t="s">
        <v>100</v>
      </c>
      <c r="C3" s="2">
        <v>0</v>
      </c>
      <c r="D3" s="2">
        <v>5</v>
      </c>
      <c r="E3" s="2">
        <v>12</v>
      </c>
      <c r="F3" s="2">
        <f>E3-C3</f>
        <v>12</v>
      </c>
      <c r="G3" s="2">
        <f>F3-D3</f>
        <v>7</v>
      </c>
      <c r="I3" s="1" t="s">
        <v>108</v>
      </c>
    </row>
    <row r="4" spans="1:10">
      <c r="B4" s="2" t="s">
        <v>101</v>
      </c>
      <c r="C4" s="2">
        <v>0</v>
      </c>
      <c r="D4" s="2">
        <v>10</v>
      </c>
      <c r="E4" s="2">
        <v>22</v>
      </c>
      <c r="F4" s="2">
        <f t="shared" ref="F4:F7" si="0">E4-C4</f>
        <v>22</v>
      </c>
      <c r="G4" s="2">
        <f t="shared" ref="G4:G7" si="1">F4-D4</f>
        <v>12</v>
      </c>
      <c r="I4" s="1" t="s">
        <v>109</v>
      </c>
    </row>
    <row r="5" spans="1:10">
      <c r="B5" s="2" t="s">
        <v>102</v>
      </c>
      <c r="C5" s="2">
        <v>0</v>
      </c>
      <c r="D5" s="2">
        <v>2</v>
      </c>
      <c r="E5" s="2">
        <v>3</v>
      </c>
      <c r="F5" s="2">
        <f t="shared" si="0"/>
        <v>3</v>
      </c>
      <c r="G5" s="2">
        <f t="shared" si="1"/>
        <v>1</v>
      </c>
    </row>
    <row r="6" spans="1:10">
      <c r="B6" s="2" t="s">
        <v>103</v>
      </c>
      <c r="C6" s="2">
        <v>0</v>
      </c>
      <c r="D6" s="2">
        <v>1</v>
      </c>
      <c r="E6" s="2">
        <v>1</v>
      </c>
      <c r="F6" s="2">
        <f t="shared" si="0"/>
        <v>1</v>
      </c>
      <c r="G6" s="2">
        <f t="shared" si="1"/>
        <v>0</v>
      </c>
    </row>
    <row r="7" spans="1:10">
      <c r="B7" s="2" t="s">
        <v>104</v>
      </c>
      <c r="C7" s="2">
        <v>0</v>
      </c>
      <c r="D7" s="2">
        <v>4</v>
      </c>
      <c r="E7" s="2">
        <v>7</v>
      </c>
      <c r="F7" s="2">
        <f t="shared" si="0"/>
        <v>7</v>
      </c>
      <c r="G7" s="2">
        <f t="shared" si="1"/>
        <v>3</v>
      </c>
    </row>
    <row r="8" spans="1:10">
      <c r="E8" s="1" t="s">
        <v>115</v>
      </c>
      <c r="F8" s="3">
        <f>SUM(F3:F7)/5</f>
        <v>9</v>
      </c>
      <c r="G8" s="3">
        <f>SUM(G3:G7)/5</f>
        <v>4.5999999999999996</v>
      </c>
    </row>
    <row r="10" spans="1:10">
      <c r="B10" s="4">
        <v>0</v>
      </c>
      <c r="C10" s="4">
        <v>1</v>
      </c>
      <c r="D10" s="4">
        <v>3</v>
      </c>
      <c r="E10" s="4">
        <v>7</v>
      </c>
      <c r="F10" s="4">
        <v>12</v>
      </c>
      <c r="G10" s="4">
        <v>22</v>
      </c>
      <c r="H10" s="4"/>
      <c r="I10" s="4"/>
      <c r="J10" s="4"/>
    </row>
    <row r="11" spans="1:10">
      <c r="B11" s="5" t="s">
        <v>103</v>
      </c>
      <c r="C11" s="5" t="s">
        <v>102</v>
      </c>
      <c r="D11" s="5" t="s">
        <v>104</v>
      </c>
      <c r="E11" s="5" t="s">
        <v>100</v>
      </c>
      <c r="F11" s="5" t="s">
        <v>101</v>
      </c>
      <c r="G11" s="5"/>
      <c r="H11" s="5"/>
      <c r="I11" s="5"/>
      <c r="J11" s="5"/>
    </row>
    <row r="12" spans="1:10">
      <c r="A12" s="6" t="s">
        <v>122</v>
      </c>
      <c r="B12" s="6" t="s">
        <v>122</v>
      </c>
      <c r="C12" s="6" t="s">
        <v>122</v>
      </c>
      <c r="D12" s="6" t="s">
        <v>122</v>
      </c>
      <c r="E12" s="6" t="s">
        <v>123</v>
      </c>
      <c r="F12" s="4"/>
      <c r="G12" s="4"/>
      <c r="H12" s="4"/>
      <c r="I12" s="4"/>
      <c r="J12" s="4"/>
    </row>
    <row r="13" spans="1:10">
      <c r="A13" s="6" t="s">
        <v>123</v>
      </c>
      <c r="B13" s="6" t="s">
        <v>123</v>
      </c>
      <c r="C13" s="6" t="s">
        <v>123</v>
      </c>
      <c r="D13" s="6" t="s">
        <v>123</v>
      </c>
    </row>
    <row r="14" spans="1:10">
      <c r="A14" s="6" t="s">
        <v>124</v>
      </c>
      <c r="B14" s="6" t="s">
        <v>124</v>
      </c>
      <c r="C14" s="6" t="s">
        <v>126</v>
      </c>
    </row>
    <row r="15" spans="1:10">
      <c r="A15" s="6" t="s">
        <v>125</v>
      </c>
      <c r="B15" s="6" t="s">
        <v>126</v>
      </c>
    </row>
    <row r="16" spans="1:10">
      <c r="A16" s="6" t="s">
        <v>126</v>
      </c>
    </row>
    <row r="18" spans="1:11">
      <c r="A18" s="1" t="s">
        <v>117</v>
      </c>
    </row>
    <row r="19" spans="1:11">
      <c r="B19" s="2" t="s">
        <v>97</v>
      </c>
      <c r="C19" s="2" t="s">
        <v>98</v>
      </c>
      <c r="D19" s="2" t="s">
        <v>99</v>
      </c>
      <c r="E19" s="3" t="s">
        <v>105</v>
      </c>
      <c r="F19" s="3" t="s">
        <v>106</v>
      </c>
      <c r="G19" s="3" t="s">
        <v>107</v>
      </c>
    </row>
    <row r="20" spans="1:11">
      <c r="B20" s="2" t="s">
        <v>100</v>
      </c>
      <c r="C20" s="2">
        <v>1</v>
      </c>
      <c r="D20" s="2">
        <v>5</v>
      </c>
      <c r="E20" s="2">
        <v>6</v>
      </c>
      <c r="F20" s="2">
        <f>E20-C20</f>
        <v>5</v>
      </c>
      <c r="G20" s="2">
        <f>F20-D20</f>
        <v>0</v>
      </c>
    </row>
    <row r="21" spans="1:11">
      <c r="B21" s="2" t="s">
        <v>101</v>
      </c>
      <c r="C21" s="2">
        <v>2</v>
      </c>
      <c r="D21" s="2">
        <v>10</v>
      </c>
      <c r="E21" s="2">
        <v>23</v>
      </c>
      <c r="F21" s="2">
        <f t="shared" ref="F21:F24" si="2">E21-C21</f>
        <v>21</v>
      </c>
      <c r="G21" s="2">
        <f t="shared" ref="G21:G24" si="3">F21-D21</f>
        <v>11</v>
      </c>
    </row>
    <row r="22" spans="1:11">
      <c r="B22" s="2" t="s">
        <v>102</v>
      </c>
      <c r="C22" s="2">
        <v>3</v>
      </c>
      <c r="D22" s="2">
        <v>2</v>
      </c>
      <c r="E22" s="2">
        <v>9</v>
      </c>
      <c r="F22" s="2">
        <f t="shared" si="2"/>
        <v>6</v>
      </c>
      <c r="G22" s="2">
        <f t="shared" si="3"/>
        <v>4</v>
      </c>
    </row>
    <row r="23" spans="1:11">
      <c r="B23" s="2" t="s">
        <v>103</v>
      </c>
      <c r="C23" s="2">
        <v>6</v>
      </c>
      <c r="D23" s="2">
        <v>1</v>
      </c>
      <c r="E23" s="2">
        <v>7</v>
      </c>
      <c r="F23" s="2">
        <f t="shared" si="2"/>
        <v>1</v>
      </c>
      <c r="G23" s="2">
        <f t="shared" si="3"/>
        <v>0</v>
      </c>
    </row>
    <row r="24" spans="1:11">
      <c r="B24" s="2" t="s">
        <v>104</v>
      </c>
      <c r="C24" s="2">
        <v>8</v>
      </c>
      <c r="D24" s="2">
        <v>4</v>
      </c>
      <c r="E24" s="2">
        <v>13</v>
      </c>
      <c r="F24" s="2">
        <f t="shared" si="2"/>
        <v>5</v>
      </c>
      <c r="G24" s="2">
        <f t="shared" si="3"/>
        <v>1</v>
      </c>
    </row>
    <row r="25" spans="1:11">
      <c r="E25" s="1" t="s">
        <v>115</v>
      </c>
      <c r="F25" s="3">
        <f>SUM(F20:F24)/5</f>
        <v>7.6</v>
      </c>
      <c r="G25" s="3">
        <f>SUM(G20:G24)/5</f>
        <v>3.2</v>
      </c>
    </row>
    <row r="27" spans="1:11">
      <c r="B27" s="4">
        <v>0</v>
      </c>
      <c r="C27" s="4">
        <v>1</v>
      </c>
      <c r="D27" s="4">
        <v>6</v>
      </c>
      <c r="E27" s="4">
        <v>7</v>
      </c>
      <c r="F27" s="4">
        <v>9</v>
      </c>
      <c r="G27" s="4">
        <v>13</v>
      </c>
      <c r="H27" s="4">
        <v>23</v>
      </c>
      <c r="I27" s="4"/>
      <c r="J27" s="4"/>
      <c r="K27" s="4"/>
    </row>
    <row r="28" spans="1:11">
      <c r="B28" s="14"/>
      <c r="C28" s="5" t="s">
        <v>100</v>
      </c>
      <c r="D28" s="5" t="s">
        <v>103</v>
      </c>
      <c r="E28" s="5" t="s">
        <v>102</v>
      </c>
      <c r="F28" s="5" t="s">
        <v>104</v>
      </c>
      <c r="G28" s="5" t="s">
        <v>101</v>
      </c>
      <c r="H28" s="5"/>
      <c r="I28" s="5"/>
      <c r="J28" s="5"/>
      <c r="K28" s="5"/>
    </row>
    <row r="29" spans="1:11">
      <c r="B29" s="6" t="s">
        <v>122</v>
      </c>
      <c r="C29" s="6" t="s">
        <v>123</v>
      </c>
      <c r="D29" s="6" t="s">
        <v>123</v>
      </c>
      <c r="E29" s="6" t="s">
        <v>123</v>
      </c>
      <c r="F29" s="6" t="s">
        <v>123</v>
      </c>
      <c r="G29" s="4"/>
      <c r="H29" s="4"/>
      <c r="I29" s="4"/>
      <c r="J29" s="4"/>
      <c r="K29" s="4"/>
    </row>
    <row r="30" spans="1:11">
      <c r="B30" s="6"/>
      <c r="C30" s="6" t="s">
        <v>124</v>
      </c>
      <c r="D30" s="6" t="s">
        <v>124</v>
      </c>
      <c r="E30" s="6" t="s">
        <v>126</v>
      </c>
      <c r="F30" s="6"/>
      <c r="G30" s="4"/>
    </row>
    <row r="31" spans="1:11">
      <c r="B31" s="6"/>
      <c r="C31" s="6" t="s">
        <v>125</v>
      </c>
      <c r="D31" s="6"/>
      <c r="E31" s="6"/>
      <c r="F31" s="6"/>
      <c r="G31" s="4"/>
    </row>
    <row r="32" spans="1:11">
      <c r="B32" s="4"/>
      <c r="C32" s="4"/>
      <c r="D32" s="4"/>
      <c r="E32" s="4"/>
      <c r="F32" s="4"/>
      <c r="G32" s="4"/>
    </row>
    <row r="34" spans="1:11">
      <c r="A34" s="1" t="s">
        <v>118</v>
      </c>
    </row>
    <row r="35" spans="1:11">
      <c r="B35" s="2" t="s">
        <v>97</v>
      </c>
      <c r="C35" s="2" t="s">
        <v>98</v>
      </c>
      <c r="D35" s="2" t="s">
        <v>99</v>
      </c>
      <c r="E35" s="3" t="s">
        <v>105</v>
      </c>
      <c r="F35" s="3" t="s">
        <v>106</v>
      </c>
      <c r="G35" s="3" t="s">
        <v>107</v>
      </c>
    </row>
    <row r="36" spans="1:11">
      <c r="B36" s="2" t="s">
        <v>100</v>
      </c>
      <c r="C36" s="2">
        <v>4</v>
      </c>
      <c r="D36" s="2">
        <v>5</v>
      </c>
      <c r="E36" s="2">
        <v>9</v>
      </c>
      <c r="F36" s="2">
        <f>E36-C36</f>
        <v>5</v>
      </c>
      <c r="G36" s="2">
        <f>F36-D36</f>
        <v>0</v>
      </c>
    </row>
    <row r="37" spans="1:11">
      <c r="B37" s="2" t="s">
        <v>101</v>
      </c>
      <c r="C37" s="2">
        <v>4</v>
      </c>
      <c r="D37" s="2">
        <v>10</v>
      </c>
      <c r="E37" s="2">
        <v>23</v>
      </c>
      <c r="F37" s="2">
        <f t="shared" ref="F37:F40" si="4">E37-C37</f>
        <v>19</v>
      </c>
      <c r="G37" s="2">
        <f t="shared" ref="G37:G40" si="5">F37-D37</f>
        <v>9</v>
      </c>
    </row>
    <row r="38" spans="1:11">
      <c r="B38" s="2" t="s">
        <v>102</v>
      </c>
      <c r="C38" s="2">
        <v>0</v>
      </c>
      <c r="D38" s="2">
        <v>2</v>
      </c>
      <c r="E38" s="2">
        <v>2</v>
      </c>
      <c r="F38" s="2">
        <f t="shared" si="4"/>
        <v>2</v>
      </c>
      <c r="G38" s="2">
        <f t="shared" si="5"/>
        <v>0</v>
      </c>
    </row>
    <row r="39" spans="1:11">
      <c r="B39" s="2" t="s">
        <v>103</v>
      </c>
      <c r="C39" s="2">
        <v>3</v>
      </c>
      <c r="D39" s="2">
        <v>1</v>
      </c>
      <c r="E39" s="2">
        <v>4</v>
      </c>
      <c r="F39" s="2">
        <f t="shared" si="4"/>
        <v>1</v>
      </c>
      <c r="G39" s="2">
        <f t="shared" si="5"/>
        <v>0</v>
      </c>
    </row>
    <row r="40" spans="1:11">
      <c r="B40" s="2" t="s">
        <v>104</v>
      </c>
      <c r="C40" s="2">
        <v>8</v>
      </c>
      <c r="D40" s="2">
        <v>4</v>
      </c>
      <c r="E40" s="2">
        <v>13</v>
      </c>
      <c r="F40" s="2">
        <f t="shared" si="4"/>
        <v>5</v>
      </c>
      <c r="G40" s="2">
        <f t="shared" si="5"/>
        <v>1</v>
      </c>
    </row>
    <row r="41" spans="1:11">
      <c r="E41" s="1" t="s">
        <v>115</v>
      </c>
      <c r="F41" s="3">
        <f>SUM(F36:F40)/5</f>
        <v>6.4</v>
      </c>
      <c r="G41" s="3">
        <f>SUM(G36:G40)/5</f>
        <v>2</v>
      </c>
    </row>
    <row r="43" spans="1:11">
      <c r="B43" s="4">
        <v>0</v>
      </c>
      <c r="C43" s="4">
        <v>2</v>
      </c>
      <c r="D43" s="4">
        <v>3</v>
      </c>
      <c r="E43" s="4">
        <v>4</v>
      </c>
      <c r="F43" s="4">
        <v>9</v>
      </c>
      <c r="G43" s="4">
        <v>13</v>
      </c>
      <c r="H43" s="4">
        <v>23</v>
      </c>
      <c r="I43" s="4"/>
      <c r="J43" s="4"/>
      <c r="K43" s="4"/>
    </row>
    <row r="44" spans="1:11">
      <c r="B44" s="2" t="s">
        <v>102</v>
      </c>
      <c r="C44" s="10"/>
      <c r="D44" s="5" t="s">
        <v>103</v>
      </c>
      <c r="E44" s="5" t="s">
        <v>100</v>
      </c>
      <c r="F44" s="5" t="s">
        <v>104</v>
      </c>
      <c r="G44" s="5" t="s">
        <v>101</v>
      </c>
      <c r="H44" s="5"/>
      <c r="I44" s="5"/>
      <c r="J44" s="5"/>
      <c r="K44" s="5"/>
    </row>
    <row r="45" spans="1:11">
      <c r="A45" s="6" t="s">
        <v>124</v>
      </c>
      <c r="B45" s="6"/>
      <c r="C45" s="6" t="s">
        <v>125</v>
      </c>
      <c r="D45" s="6" t="s">
        <v>122</v>
      </c>
      <c r="E45" s="6" t="s">
        <v>123</v>
      </c>
      <c r="F45" s="6" t="s">
        <v>123</v>
      </c>
      <c r="G45" s="6"/>
      <c r="H45" s="6"/>
      <c r="I45" s="6"/>
      <c r="J45" s="6"/>
      <c r="K45" s="6"/>
    </row>
    <row r="46" spans="1:11">
      <c r="A46" s="6"/>
      <c r="B46" s="6"/>
      <c r="C46" s="6"/>
      <c r="D46" s="6" t="s">
        <v>123</v>
      </c>
      <c r="E46" s="6" t="s">
        <v>126</v>
      </c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0"/>
  <sheetViews>
    <sheetView topLeftCell="B1" workbookViewId="0">
      <selection activeCell="G26" sqref="G26"/>
    </sheetView>
  </sheetViews>
  <sheetFormatPr defaultRowHeight="15.75"/>
  <cols>
    <col min="1" max="2" width="9" style="1"/>
    <col min="3" max="3" width="6.125" style="1" customWidth="1"/>
    <col min="4" max="4" width="7.125" style="1" customWidth="1"/>
    <col min="5" max="10" width="6.125" style="1" customWidth="1"/>
    <col min="11" max="13" width="6.125" style="7" customWidth="1"/>
    <col min="14" max="14" width="5.5" style="1" customWidth="1"/>
    <col min="15" max="15" width="8.5" style="1" customWidth="1"/>
    <col min="16" max="16" width="13.5" style="1" customWidth="1"/>
    <col min="17" max="17" width="26.5" style="1" customWidth="1"/>
    <col min="18" max="16384" width="9" style="1"/>
  </cols>
  <sheetData>
    <row r="1" spans="1:17">
      <c r="A1" s="1" t="s">
        <v>116</v>
      </c>
    </row>
    <row r="2" spans="1:17">
      <c r="B2" s="2" t="s">
        <v>97</v>
      </c>
      <c r="C2" s="2" t="s">
        <v>119</v>
      </c>
      <c r="D2" s="2" t="s">
        <v>120</v>
      </c>
      <c r="E2" s="3" t="s">
        <v>105</v>
      </c>
      <c r="F2" s="3" t="s">
        <v>106</v>
      </c>
      <c r="G2" s="3" t="s">
        <v>107</v>
      </c>
      <c r="O2" s="2" t="s">
        <v>128</v>
      </c>
      <c r="P2" s="2" t="s">
        <v>130</v>
      </c>
      <c r="Q2" s="2" t="s">
        <v>127</v>
      </c>
    </row>
    <row r="3" spans="1:17">
      <c r="B3" s="2" t="s">
        <v>100</v>
      </c>
      <c r="C3" s="2">
        <v>0</v>
      </c>
      <c r="D3" s="2">
        <v>5</v>
      </c>
      <c r="E3" s="2">
        <v>12</v>
      </c>
      <c r="F3" s="2">
        <f>E3-C3</f>
        <v>12</v>
      </c>
      <c r="G3" s="2">
        <f>F3-D3</f>
        <v>7</v>
      </c>
      <c r="I3" s="1" t="s">
        <v>108</v>
      </c>
      <c r="O3" s="2">
        <v>0</v>
      </c>
      <c r="P3" s="2" t="s">
        <v>129</v>
      </c>
      <c r="Q3" s="2" t="s">
        <v>131</v>
      </c>
    </row>
    <row r="4" spans="1:17">
      <c r="B4" s="2" t="s">
        <v>101</v>
      </c>
      <c r="C4" s="2">
        <v>0</v>
      </c>
      <c r="D4" s="2">
        <v>10</v>
      </c>
      <c r="E4" s="2">
        <v>22</v>
      </c>
      <c r="F4" s="2">
        <f t="shared" ref="F4:F7" si="0">E4-C4</f>
        <v>22</v>
      </c>
      <c r="G4" s="2">
        <f t="shared" ref="G4:G7" si="1">F4-D4</f>
        <v>12</v>
      </c>
      <c r="I4" s="1" t="s">
        <v>109</v>
      </c>
      <c r="O4" s="2">
        <v>1</v>
      </c>
      <c r="P4" s="2" t="s">
        <v>132</v>
      </c>
      <c r="Q4" s="2" t="s">
        <v>138</v>
      </c>
    </row>
    <row r="5" spans="1:17">
      <c r="B5" s="2" t="s">
        <v>102</v>
      </c>
      <c r="C5" s="2">
        <v>0</v>
      </c>
      <c r="D5" s="2">
        <v>2</v>
      </c>
      <c r="E5" s="2">
        <v>3</v>
      </c>
      <c r="F5" s="2">
        <f t="shared" si="0"/>
        <v>3</v>
      </c>
      <c r="G5" s="2">
        <f t="shared" si="1"/>
        <v>1</v>
      </c>
      <c r="O5" s="2">
        <v>2</v>
      </c>
      <c r="P5" s="2" t="s">
        <v>132</v>
      </c>
      <c r="Q5" s="2" t="s">
        <v>138</v>
      </c>
    </row>
    <row r="6" spans="1:17">
      <c r="B6" s="2" t="s">
        <v>103</v>
      </c>
      <c r="C6" s="2">
        <v>0</v>
      </c>
      <c r="D6" s="2">
        <v>1</v>
      </c>
      <c r="E6" s="2">
        <v>1</v>
      </c>
      <c r="F6" s="2">
        <f t="shared" si="0"/>
        <v>1</v>
      </c>
      <c r="G6" s="2">
        <f t="shared" si="1"/>
        <v>0</v>
      </c>
      <c r="O6" s="2">
        <v>3</v>
      </c>
      <c r="P6" s="2" t="s">
        <v>140</v>
      </c>
      <c r="Q6" s="2" t="s">
        <v>142</v>
      </c>
    </row>
    <row r="7" spans="1:17">
      <c r="B7" s="2" t="s">
        <v>104</v>
      </c>
      <c r="C7" s="2">
        <v>0</v>
      </c>
      <c r="D7" s="2">
        <v>4</v>
      </c>
      <c r="E7" s="2">
        <v>7</v>
      </c>
      <c r="F7" s="2">
        <f t="shared" si="0"/>
        <v>7</v>
      </c>
      <c r="G7" s="2">
        <f t="shared" si="1"/>
        <v>3</v>
      </c>
      <c r="O7" s="2">
        <v>4</v>
      </c>
      <c r="P7" s="2" t="s">
        <v>140</v>
      </c>
      <c r="Q7" s="2" t="s">
        <v>142</v>
      </c>
    </row>
    <row r="8" spans="1:17">
      <c r="E8" s="1" t="s">
        <v>115</v>
      </c>
      <c r="F8" s="3">
        <f>SUM(F3:F7)/5</f>
        <v>9</v>
      </c>
      <c r="G8" s="3">
        <f>SUM(G3:G7)/5</f>
        <v>4.5999999999999996</v>
      </c>
      <c r="O8" s="2">
        <v>5</v>
      </c>
      <c r="P8" s="2" t="s">
        <v>140</v>
      </c>
      <c r="Q8" s="2" t="s">
        <v>142</v>
      </c>
    </row>
    <row r="9" spans="1:17">
      <c r="O9" s="2">
        <v>6</v>
      </c>
      <c r="P9" s="2" t="s">
        <v>140</v>
      </c>
      <c r="Q9" s="2" t="s">
        <v>142</v>
      </c>
    </row>
    <row r="10" spans="1:17">
      <c r="A10" s="1">
        <v>0</v>
      </c>
      <c r="B10" s="4"/>
      <c r="C10" s="4">
        <v>1</v>
      </c>
      <c r="D10" s="4">
        <v>2</v>
      </c>
      <c r="E10" s="4">
        <v>3</v>
      </c>
      <c r="F10" s="4">
        <v>4</v>
      </c>
      <c r="G10" s="4">
        <v>5</v>
      </c>
      <c r="H10" s="4">
        <v>6</v>
      </c>
      <c r="I10" s="4">
        <v>7</v>
      </c>
      <c r="J10" s="4">
        <v>12</v>
      </c>
      <c r="K10" s="4">
        <v>22</v>
      </c>
      <c r="L10" s="4"/>
      <c r="M10" s="4"/>
      <c r="O10" s="2">
        <v>7</v>
      </c>
      <c r="P10" s="2" t="s">
        <v>145</v>
      </c>
      <c r="Q10" s="2" t="s">
        <v>146</v>
      </c>
    </row>
    <row r="11" spans="1:17">
      <c r="B11" s="5" t="s">
        <v>113</v>
      </c>
      <c r="C11" s="5" t="s">
        <v>112</v>
      </c>
      <c r="D11" s="5" t="s">
        <v>112</v>
      </c>
      <c r="E11" s="5" t="s">
        <v>114</v>
      </c>
      <c r="F11" s="5" t="s">
        <v>114</v>
      </c>
      <c r="G11" s="5" t="s">
        <v>114</v>
      </c>
      <c r="H11" s="5" t="s">
        <v>114</v>
      </c>
      <c r="I11" s="5" t="s">
        <v>110</v>
      </c>
      <c r="J11" s="5" t="s">
        <v>111</v>
      </c>
      <c r="K11" s="5"/>
      <c r="L11" s="5"/>
      <c r="M11" s="16"/>
      <c r="O11" s="2">
        <v>12</v>
      </c>
      <c r="P11" s="2" t="s">
        <v>111</v>
      </c>
      <c r="Q11" s="2" t="s">
        <v>147</v>
      </c>
    </row>
    <row r="12" spans="1:17">
      <c r="A12" s="6" t="s">
        <v>133</v>
      </c>
      <c r="B12" s="6" t="s">
        <v>133</v>
      </c>
      <c r="C12" s="6" t="s">
        <v>133</v>
      </c>
      <c r="D12" s="6" t="s">
        <v>133</v>
      </c>
      <c r="E12" s="6" t="s">
        <v>133</v>
      </c>
      <c r="F12" s="6" t="s">
        <v>133</v>
      </c>
      <c r="G12" s="6" t="s">
        <v>133</v>
      </c>
      <c r="H12" s="4" t="s">
        <v>133</v>
      </c>
      <c r="I12" s="4" t="s">
        <v>134</v>
      </c>
      <c r="J12" s="4"/>
      <c r="K12" s="4"/>
      <c r="L12" s="4"/>
      <c r="M12" s="4"/>
      <c r="O12" s="2"/>
      <c r="P12" s="2"/>
      <c r="Q12" s="2"/>
    </row>
    <row r="13" spans="1:17" s="7" customFormat="1">
      <c r="A13" s="6" t="s">
        <v>134</v>
      </c>
      <c r="B13" s="6" t="s">
        <v>134</v>
      </c>
      <c r="C13" s="6" t="s">
        <v>134</v>
      </c>
      <c r="D13" s="6" t="s">
        <v>134</v>
      </c>
      <c r="E13" s="6" t="s">
        <v>134</v>
      </c>
      <c r="F13" s="6" t="s">
        <v>134</v>
      </c>
      <c r="G13" s="6" t="s">
        <v>134</v>
      </c>
      <c r="H13" s="4" t="s">
        <v>134</v>
      </c>
      <c r="I13" s="4"/>
      <c r="J13" s="4"/>
      <c r="K13" s="4"/>
      <c r="L13" s="4"/>
      <c r="M13" s="4"/>
      <c r="O13" s="2"/>
      <c r="P13" s="2"/>
      <c r="Q13" s="2"/>
    </row>
    <row r="14" spans="1:17" s="7" customFormat="1">
      <c r="A14" s="6" t="s">
        <v>136</v>
      </c>
      <c r="B14" s="6" t="s">
        <v>136</v>
      </c>
      <c r="C14" s="6" t="s">
        <v>139</v>
      </c>
      <c r="D14" s="6" t="s">
        <v>137</v>
      </c>
      <c r="E14" s="6" t="s">
        <v>141</v>
      </c>
      <c r="F14" s="6" t="s">
        <v>143</v>
      </c>
      <c r="G14" s="6" t="s">
        <v>144</v>
      </c>
      <c r="H14" s="4"/>
      <c r="I14" s="4"/>
      <c r="J14" s="4"/>
      <c r="K14" s="4"/>
      <c r="L14" s="4"/>
      <c r="M14" s="4"/>
      <c r="O14" s="2"/>
      <c r="P14" s="2"/>
      <c r="Q14" s="2"/>
    </row>
    <row r="15" spans="1:17" s="7" customFormat="1">
      <c r="A15" s="6" t="s">
        <v>135</v>
      </c>
      <c r="B15" s="6" t="s">
        <v>137</v>
      </c>
      <c r="C15" s="6" t="s">
        <v>137</v>
      </c>
      <c r="D15" s="6"/>
      <c r="E15" s="6"/>
      <c r="F15" s="4"/>
      <c r="G15" s="4"/>
      <c r="H15" s="4"/>
      <c r="I15" s="4"/>
      <c r="J15" s="4"/>
      <c r="K15" s="4"/>
      <c r="L15" s="4"/>
      <c r="M15" s="4"/>
      <c r="O15" s="2"/>
      <c r="P15" s="2"/>
      <c r="Q15" s="2"/>
    </row>
    <row r="16" spans="1:17" s="7" customFormat="1">
      <c r="A16" s="6" t="s">
        <v>137</v>
      </c>
      <c r="B16" s="6"/>
      <c r="C16" s="6"/>
      <c r="D16" s="6"/>
      <c r="E16" s="6"/>
      <c r="F16" s="4"/>
      <c r="G16" s="4"/>
      <c r="H16" s="4"/>
      <c r="I16" s="4"/>
      <c r="J16" s="4"/>
      <c r="K16" s="4"/>
      <c r="L16" s="4"/>
      <c r="M16" s="4"/>
      <c r="O16" s="2"/>
      <c r="P16" s="2"/>
      <c r="Q16" s="2"/>
    </row>
    <row r="17" spans="1:17" s="7" customFormat="1">
      <c r="A17" s="6"/>
      <c r="B17" s="6"/>
      <c r="C17" s="6"/>
      <c r="D17" s="6"/>
      <c r="E17" s="6"/>
      <c r="F17" s="4"/>
      <c r="G17" s="4"/>
      <c r="H17" s="4"/>
      <c r="I17" s="4"/>
      <c r="J17" s="4"/>
      <c r="K17" s="4"/>
      <c r="L17" s="4"/>
      <c r="M17" s="4"/>
      <c r="O17" s="2"/>
      <c r="P17" s="2"/>
      <c r="Q17" s="2"/>
    </row>
    <row r="19" spans="1:17">
      <c r="A19" s="1" t="s">
        <v>117</v>
      </c>
    </row>
    <row r="20" spans="1:17">
      <c r="B20" s="2" t="s">
        <v>97</v>
      </c>
      <c r="C20" s="2" t="s">
        <v>98</v>
      </c>
      <c r="D20" s="2" t="s">
        <v>99</v>
      </c>
      <c r="E20" s="3" t="s">
        <v>105</v>
      </c>
      <c r="F20" s="3" t="s">
        <v>106</v>
      </c>
      <c r="G20" s="3" t="s">
        <v>107</v>
      </c>
      <c r="O20" s="2" t="s">
        <v>128</v>
      </c>
      <c r="P20" s="2" t="s">
        <v>148</v>
      </c>
      <c r="Q20" s="2" t="s">
        <v>127</v>
      </c>
    </row>
    <row r="21" spans="1:17">
      <c r="B21" s="2" t="s">
        <v>100</v>
      </c>
      <c r="C21" s="2">
        <v>1</v>
      </c>
      <c r="D21" s="2">
        <v>5</v>
      </c>
      <c r="E21" s="2">
        <v>19</v>
      </c>
      <c r="F21" s="2">
        <f>E21-C21</f>
        <v>18</v>
      </c>
      <c r="G21" s="2">
        <f>F21-D21</f>
        <v>13</v>
      </c>
      <c r="O21" s="2">
        <v>0</v>
      </c>
      <c r="P21" s="2" t="s">
        <v>149</v>
      </c>
      <c r="Q21" s="2"/>
    </row>
    <row r="22" spans="1:17">
      <c r="B22" s="2" t="s">
        <v>101</v>
      </c>
      <c r="C22" s="2">
        <v>2</v>
      </c>
      <c r="D22" s="2">
        <v>10</v>
      </c>
      <c r="E22" s="2">
        <v>17</v>
      </c>
      <c r="F22" s="2">
        <f t="shared" ref="F22:F25" si="2">E22-C22</f>
        <v>15</v>
      </c>
      <c r="G22" s="2">
        <f t="shared" ref="G22:G25" si="3">F22-D22</f>
        <v>5</v>
      </c>
      <c r="O22" s="2">
        <v>1</v>
      </c>
      <c r="P22" s="2" t="s">
        <v>110</v>
      </c>
      <c r="Q22" s="2" t="s">
        <v>150</v>
      </c>
    </row>
    <row r="23" spans="1:17">
      <c r="B23" s="2" t="s">
        <v>102</v>
      </c>
      <c r="C23" s="2">
        <v>3</v>
      </c>
      <c r="D23" s="2">
        <v>2</v>
      </c>
      <c r="E23" s="2">
        <v>8</v>
      </c>
      <c r="F23" s="2">
        <f t="shared" si="2"/>
        <v>5</v>
      </c>
      <c r="G23" s="2">
        <f t="shared" si="3"/>
        <v>3</v>
      </c>
      <c r="O23" s="2">
        <v>2</v>
      </c>
      <c r="P23" s="2" t="s">
        <v>152</v>
      </c>
      <c r="Q23" s="2" t="s">
        <v>153</v>
      </c>
    </row>
    <row r="24" spans="1:17">
      <c r="B24" s="2" t="s">
        <v>103</v>
      </c>
      <c r="C24" s="2">
        <v>6</v>
      </c>
      <c r="D24" s="2">
        <v>1</v>
      </c>
      <c r="E24" s="2">
        <v>9</v>
      </c>
      <c r="F24" s="2">
        <f t="shared" si="2"/>
        <v>3</v>
      </c>
      <c r="G24" s="2">
        <f t="shared" si="3"/>
        <v>2</v>
      </c>
      <c r="O24" s="2">
        <v>3</v>
      </c>
      <c r="P24" s="2" t="s">
        <v>155</v>
      </c>
      <c r="Q24" s="2" t="s">
        <v>150</v>
      </c>
    </row>
    <row r="25" spans="1:17">
      <c r="B25" s="2" t="s">
        <v>104</v>
      </c>
      <c r="C25" s="2">
        <v>8</v>
      </c>
      <c r="D25" s="2">
        <v>4</v>
      </c>
      <c r="E25" s="2">
        <v>23</v>
      </c>
      <c r="F25" s="2">
        <f t="shared" si="2"/>
        <v>15</v>
      </c>
      <c r="G25" s="2">
        <f t="shared" si="3"/>
        <v>11</v>
      </c>
      <c r="O25" s="2">
        <v>4</v>
      </c>
      <c r="P25" s="2" t="s">
        <v>156</v>
      </c>
      <c r="Q25" s="2" t="s">
        <v>157</v>
      </c>
    </row>
    <row r="26" spans="1:17">
      <c r="E26" s="1" t="s">
        <v>115</v>
      </c>
      <c r="F26" s="3">
        <f>SUM(F21:F25)/5</f>
        <v>11.2</v>
      </c>
      <c r="G26" s="3">
        <f>SUM(G21:G25)/5</f>
        <v>6.8</v>
      </c>
      <c r="O26" s="2">
        <v>5</v>
      </c>
      <c r="P26" s="2" t="s">
        <v>158</v>
      </c>
      <c r="Q26" s="2" t="s">
        <v>153</v>
      </c>
    </row>
    <row r="27" spans="1:17">
      <c r="O27" s="2">
        <v>6</v>
      </c>
      <c r="P27" s="2" t="s">
        <v>161</v>
      </c>
      <c r="Q27" s="2" t="s">
        <v>150</v>
      </c>
    </row>
    <row r="28" spans="1:17">
      <c r="A28" s="1">
        <v>0</v>
      </c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17</v>
      </c>
      <c r="M28" s="4">
        <v>19</v>
      </c>
      <c r="N28" s="4">
        <v>23</v>
      </c>
      <c r="O28" s="2">
        <v>7</v>
      </c>
      <c r="P28" s="2" t="s">
        <v>163</v>
      </c>
      <c r="Q28" s="2" t="s">
        <v>157</v>
      </c>
    </row>
    <row r="29" spans="1:17">
      <c r="B29" s="17"/>
      <c r="C29" s="5" t="s">
        <v>110</v>
      </c>
      <c r="D29" s="5" t="s">
        <v>111</v>
      </c>
      <c r="E29" s="5" t="s">
        <v>110</v>
      </c>
      <c r="F29" s="5" t="s">
        <v>112</v>
      </c>
      <c r="G29" s="5" t="s">
        <v>111</v>
      </c>
      <c r="H29" s="5" t="s">
        <v>110</v>
      </c>
      <c r="I29" s="5" t="s">
        <v>112</v>
      </c>
      <c r="J29" s="5" t="s">
        <v>113</v>
      </c>
      <c r="K29" s="5" t="s">
        <v>111</v>
      </c>
      <c r="L29" s="5" t="s">
        <v>110</v>
      </c>
      <c r="M29" s="5" t="s">
        <v>114</v>
      </c>
      <c r="N29" s="5"/>
      <c r="O29" s="2">
        <v>8</v>
      </c>
      <c r="P29" s="2" t="s">
        <v>164</v>
      </c>
      <c r="Q29" s="2" t="s">
        <v>165</v>
      </c>
    </row>
    <row r="30" spans="1:17">
      <c r="B30" s="6" t="s">
        <v>133</v>
      </c>
      <c r="C30" s="6" t="s">
        <v>151</v>
      </c>
      <c r="D30" s="6" t="s">
        <v>151</v>
      </c>
      <c r="E30" s="6" t="s">
        <v>151</v>
      </c>
      <c r="F30" s="6" t="s">
        <v>160</v>
      </c>
      <c r="G30" s="6" t="s">
        <v>160</v>
      </c>
      <c r="H30" s="6" t="s">
        <v>162</v>
      </c>
      <c r="I30" s="6" t="s">
        <v>162</v>
      </c>
      <c r="J30" s="6" t="s">
        <v>162</v>
      </c>
      <c r="K30" s="6" t="s">
        <v>162</v>
      </c>
      <c r="L30" s="6" t="s">
        <v>137</v>
      </c>
      <c r="M30" s="6"/>
      <c r="N30" s="4"/>
      <c r="O30" s="2">
        <v>9</v>
      </c>
      <c r="P30" s="2" t="s">
        <v>166</v>
      </c>
      <c r="Q30" s="2" t="s">
        <v>167</v>
      </c>
    </row>
    <row r="31" spans="1:17">
      <c r="B31" s="6"/>
      <c r="C31" s="6" t="s">
        <v>134</v>
      </c>
      <c r="D31" s="6" t="s">
        <v>154</v>
      </c>
      <c r="E31" s="6" t="s">
        <v>154</v>
      </c>
      <c r="F31" s="6" t="s">
        <v>154</v>
      </c>
      <c r="G31" s="6" t="s">
        <v>159</v>
      </c>
      <c r="H31" s="6" t="s">
        <v>159</v>
      </c>
      <c r="I31" s="6" t="s">
        <v>159</v>
      </c>
      <c r="J31" s="6" t="s">
        <v>159</v>
      </c>
      <c r="K31" s="6" t="s">
        <v>137</v>
      </c>
      <c r="L31" s="6"/>
      <c r="M31" s="6"/>
      <c r="O31" s="2">
        <v>17</v>
      </c>
      <c r="P31" s="2" t="s">
        <v>168</v>
      </c>
      <c r="Q31" s="2" t="s">
        <v>169</v>
      </c>
    </row>
    <row r="32" spans="1:17">
      <c r="B32" s="6"/>
      <c r="C32" s="6"/>
      <c r="D32" s="6" t="s">
        <v>136</v>
      </c>
      <c r="E32" s="6" t="s">
        <v>136</v>
      </c>
      <c r="F32" s="6" t="s">
        <v>139</v>
      </c>
      <c r="G32" s="6" t="s">
        <v>139</v>
      </c>
      <c r="H32" s="6" t="s">
        <v>139</v>
      </c>
      <c r="I32" s="13" t="s">
        <v>135</v>
      </c>
      <c r="J32" s="13" t="s">
        <v>137</v>
      </c>
      <c r="K32" s="6"/>
      <c r="L32" s="6"/>
      <c r="M32" s="6"/>
      <c r="O32" s="2">
        <v>19</v>
      </c>
      <c r="P32" s="2" t="s">
        <v>114</v>
      </c>
      <c r="Q32" s="2" t="s">
        <v>170</v>
      </c>
    </row>
    <row r="33" spans="1:17">
      <c r="B33" s="6"/>
      <c r="C33" s="6"/>
      <c r="G33" s="13" t="s">
        <v>135</v>
      </c>
      <c r="H33" s="13" t="s">
        <v>135</v>
      </c>
      <c r="I33" s="13" t="s">
        <v>137</v>
      </c>
      <c r="O33" s="2"/>
      <c r="P33" s="2"/>
      <c r="Q33" s="2"/>
    </row>
    <row r="34" spans="1:17">
      <c r="B34" s="6"/>
      <c r="I34" s="13"/>
      <c r="O34" s="2"/>
      <c r="P34" s="2"/>
      <c r="Q34" s="2"/>
    </row>
    <row r="35" spans="1:17">
      <c r="O35" s="2"/>
      <c r="P35" s="2"/>
      <c r="Q35" s="2"/>
    </row>
    <row r="37" spans="1:17">
      <c r="A37" s="7" t="s">
        <v>117</v>
      </c>
      <c r="B37" s="7"/>
      <c r="C37" s="7"/>
      <c r="D37" s="7"/>
      <c r="E37" s="7"/>
      <c r="F37" s="7"/>
      <c r="G37" s="7"/>
      <c r="H37" s="7"/>
      <c r="I37" s="7"/>
      <c r="J37" s="7"/>
      <c r="N37" s="7"/>
      <c r="O37" s="7"/>
      <c r="P37" s="7"/>
      <c r="Q37" s="7"/>
    </row>
    <row r="38" spans="1:17">
      <c r="A38" s="7"/>
      <c r="B38" s="2" t="s">
        <v>97</v>
      </c>
      <c r="C38" s="2" t="s">
        <v>119</v>
      </c>
      <c r="D38" s="2" t="s">
        <v>120</v>
      </c>
      <c r="E38" s="3" t="s">
        <v>105</v>
      </c>
      <c r="F38" s="3" t="s">
        <v>106</v>
      </c>
      <c r="G38" s="3" t="s">
        <v>107</v>
      </c>
      <c r="H38" s="7"/>
      <c r="I38" s="7"/>
      <c r="J38" s="7"/>
      <c r="N38" s="7"/>
      <c r="O38" s="2" t="s">
        <v>128</v>
      </c>
      <c r="P38" s="2" t="s">
        <v>148</v>
      </c>
      <c r="Q38" s="2" t="s">
        <v>127</v>
      </c>
    </row>
    <row r="39" spans="1:17">
      <c r="A39" s="7"/>
      <c r="B39" s="2" t="s">
        <v>100</v>
      </c>
      <c r="C39" s="2">
        <v>1</v>
      </c>
      <c r="D39" s="2">
        <v>5</v>
      </c>
      <c r="E39" s="2">
        <v>9</v>
      </c>
      <c r="F39" s="2">
        <f>E39-C39</f>
        <v>8</v>
      </c>
      <c r="G39" s="2">
        <f>F39-D39</f>
        <v>3</v>
      </c>
      <c r="H39" s="7"/>
      <c r="I39" s="7"/>
      <c r="J39" s="7"/>
      <c r="N39" s="7"/>
      <c r="O39" s="2">
        <v>1</v>
      </c>
      <c r="P39" s="2" t="s">
        <v>110</v>
      </c>
      <c r="Q39" s="2" t="s">
        <v>171</v>
      </c>
    </row>
    <row r="40" spans="1:17">
      <c r="A40" s="7"/>
      <c r="B40" s="2" t="s">
        <v>101</v>
      </c>
      <c r="C40" s="2">
        <v>2</v>
      </c>
      <c r="D40" s="2">
        <v>10</v>
      </c>
      <c r="E40" s="2">
        <v>23</v>
      </c>
      <c r="F40" s="2">
        <f t="shared" ref="F40:F43" si="4">E40-C40</f>
        <v>21</v>
      </c>
      <c r="G40" s="2">
        <f t="shared" ref="G40:G43" si="5">F40-D40</f>
        <v>11</v>
      </c>
      <c r="H40" s="7"/>
      <c r="I40" s="7"/>
      <c r="J40" s="7"/>
      <c r="N40" s="7"/>
      <c r="O40" s="2">
        <v>2</v>
      </c>
      <c r="P40" s="2" t="s">
        <v>172</v>
      </c>
      <c r="Q40" s="2" t="s">
        <v>171</v>
      </c>
    </row>
    <row r="41" spans="1:17">
      <c r="A41" s="7"/>
      <c r="B41" s="2" t="s">
        <v>102</v>
      </c>
      <c r="C41" s="2">
        <v>3</v>
      </c>
      <c r="D41" s="2">
        <v>2</v>
      </c>
      <c r="E41" s="2">
        <v>5</v>
      </c>
      <c r="F41" s="2">
        <f t="shared" si="4"/>
        <v>2</v>
      </c>
      <c r="G41" s="2">
        <f t="shared" si="5"/>
        <v>0</v>
      </c>
      <c r="H41" s="7"/>
      <c r="I41" s="7"/>
      <c r="J41" s="7"/>
      <c r="N41" s="7"/>
      <c r="O41" s="2">
        <v>3</v>
      </c>
      <c r="P41" s="2" t="s">
        <v>173</v>
      </c>
      <c r="Q41" s="2" t="s">
        <v>157</v>
      </c>
    </row>
    <row r="42" spans="1:17">
      <c r="A42" s="7"/>
      <c r="B42" s="2" t="s">
        <v>103</v>
      </c>
      <c r="C42" s="2">
        <v>6</v>
      </c>
      <c r="D42" s="2">
        <v>1</v>
      </c>
      <c r="E42" s="2">
        <v>7</v>
      </c>
      <c r="F42" s="2">
        <f t="shared" si="4"/>
        <v>1</v>
      </c>
      <c r="G42" s="2">
        <f t="shared" si="5"/>
        <v>0</v>
      </c>
      <c r="H42" s="7"/>
      <c r="I42" s="7"/>
      <c r="J42" s="7"/>
      <c r="N42" s="7"/>
      <c r="O42" s="2">
        <v>4</v>
      </c>
      <c r="P42" s="2" t="s">
        <v>173</v>
      </c>
      <c r="Q42" s="2" t="s">
        <v>157</v>
      </c>
    </row>
    <row r="43" spans="1:17">
      <c r="A43" s="7"/>
      <c r="B43" s="2" t="s">
        <v>104</v>
      </c>
      <c r="C43" s="2">
        <v>8</v>
      </c>
      <c r="D43" s="2">
        <v>4</v>
      </c>
      <c r="E43" s="2">
        <v>13</v>
      </c>
      <c r="F43" s="2">
        <f t="shared" si="4"/>
        <v>5</v>
      </c>
      <c r="G43" s="2">
        <f t="shared" si="5"/>
        <v>1</v>
      </c>
      <c r="H43" s="7"/>
      <c r="I43" s="7"/>
      <c r="J43" s="7"/>
      <c r="N43" s="7"/>
      <c r="O43" s="2">
        <v>5</v>
      </c>
      <c r="P43" s="2" t="s">
        <v>175</v>
      </c>
      <c r="Q43" s="2" t="s">
        <v>171</v>
      </c>
    </row>
    <row r="44" spans="1:17">
      <c r="A44" s="7"/>
      <c r="B44" s="7"/>
      <c r="C44" s="7"/>
      <c r="D44" s="7"/>
      <c r="E44" s="7" t="s">
        <v>115</v>
      </c>
      <c r="F44" s="3">
        <f>SUM(F39:F43)/5</f>
        <v>7.4</v>
      </c>
      <c r="G44" s="3">
        <f>SUM(G39:G43)/5</f>
        <v>3</v>
      </c>
      <c r="H44" s="7"/>
      <c r="I44" s="7"/>
      <c r="J44" s="7"/>
      <c r="N44" s="7"/>
      <c r="O44" s="2">
        <v>6</v>
      </c>
      <c r="P44" s="2" t="s">
        <v>174</v>
      </c>
      <c r="Q44" s="2" t="s">
        <v>165</v>
      </c>
    </row>
    <row r="45" spans="1:17">
      <c r="A45" s="7"/>
      <c r="B45" s="7"/>
      <c r="C45" s="7"/>
      <c r="D45" s="7"/>
      <c r="E45" s="7"/>
      <c r="F45" s="7"/>
      <c r="G45" s="7"/>
      <c r="H45" s="7"/>
      <c r="I45" s="7"/>
      <c r="J45" s="7"/>
      <c r="N45" s="7"/>
      <c r="O45" s="2">
        <v>7</v>
      </c>
      <c r="P45" s="2" t="s">
        <v>172</v>
      </c>
      <c r="Q45" s="2" t="s">
        <v>171</v>
      </c>
    </row>
    <row r="46" spans="1:17">
      <c r="A46" s="7">
        <v>0</v>
      </c>
      <c r="B46" s="7"/>
      <c r="C46" s="4">
        <v>1</v>
      </c>
      <c r="D46" s="4">
        <v>2</v>
      </c>
      <c r="E46" s="4">
        <v>3</v>
      </c>
      <c r="F46" s="4">
        <v>4</v>
      </c>
      <c r="G46" s="4">
        <v>5</v>
      </c>
      <c r="H46" s="4">
        <v>6</v>
      </c>
      <c r="I46" s="4">
        <v>7</v>
      </c>
      <c r="J46" s="4">
        <v>8</v>
      </c>
      <c r="K46" s="4">
        <v>9</v>
      </c>
      <c r="L46" s="4">
        <v>13</v>
      </c>
      <c r="M46" s="4">
        <v>23</v>
      </c>
      <c r="N46" s="4"/>
      <c r="O46" s="2">
        <v>8</v>
      </c>
      <c r="P46" s="2" t="s">
        <v>177</v>
      </c>
      <c r="Q46" s="2" t="s">
        <v>171</v>
      </c>
    </row>
    <row r="47" spans="1:17">
      <c r="A47" s="7"/>
      <c r="B47" s="17"/>
      <c r="C47" s="5" t="s">
        <v>110</v>
      </c>
      <c r="D47" s="5" t="s">
        <v>110</v>
      </c>
      <c r="E47" s="5" t="s">
        <v>112</v>
      </c>
      <c r="F47" s="5" t="s">
        <v>112</v>
      </c>
      <c r="G47" s="5" t="s">
        <v>110</v>
      </c>
      <c r="H47" s="5" t="s">
        <v>113</v>
      </c>
      <c r="I47" s="5" t="s">
        <v>110</v>
      </c>
      <c r="J47" s="5" t="s">
        <v>110</v>
      </c>
      <c r="K47" s="5" t="s">
        <v>114</v>
      </c>
      <c r="L47" s="5" t="s">
        <v>111</v>
      </c>
      <c r="M47" s="5"/>
      <c r="N47" s="5"/>
      <c r="O47" s="2">
        <v>9</v>
      </c>
      <c r="P47" s="2" t="s">
        <v>178</v>
      </c>
      <c r="Q47" s="2" t="s">
        <v>170</v>
      </c>
    </row>
    <row r="48" spans="1:17">
      <c r="A48" s="7"/>
      <c r="B48" s="6" t="s">
        <v>133</v>
      </c>
      <c r="C48" s="6" t="s">
        <v>151</v>
      </c>
      <c r="D48" s="6" t="s">
        <v>160</v>
      </c>
      <c r="E48" s="6" t="s">
        <v>160</v>
      </c>
      <c r="F48" s="6" t="s">
        <v>160</v>
      </c>
      <c r="G48" s="6" t="s">
        <v>162</v>
      </c>
      <c r="H48" s="6" t="s">
        <v>162</v>
      </c>
      <c r="I48" s="6" t="s">
        <v>176</v>
      </c>
      <c r="J48" s="6" t="s">
        <v>134</v>
      </c>
      <c r="K48" s="6" t="s">
        <v>134</v>
      </c>
      <c r="L48" s="6"/>
      <c r="M48" s="6"/>
      <c r="N48" s="4"/>
      <c r="O48" s="2">
        <v>13</v>
      </c>
      <c r="P48" s="2" t="s">
        <v>111</v>
      </c>
      <c r="Q48" s="2" t="s">
        <v>179</v>
      </c>
    </row>
    <row r="49" spans="1:17">
      <c r="A49" s="7"/>
      <c r="B49" s="6"/>
      <c r="C49" s="6" t="s">
        <v>134</v>
      </c>
      <c r="D49" s="6" t="s">
        <v>134</v>
      </c>
      <c r="E49" s="6" t="s">
        <v>134</v>
      </c>
      <c r="F49" s="6" t="s">
        <v>134</v>
      </c>
      <c r="G49" s="6" t="s">
        <v>134</v>
      </c>
      <c r="H49" s="6" t="s">
        <v>134</v>
      </c>
      <c r="I49" s="6" t="s">
        <v>134</v>
      </c>
      <c r="J49" s="13" t="s">
        <v>137</v>
      </c>
      <c r="K49" s="6"/>
      <c r="L49" s="6"/>
      <c r="M49" s="6"/>
      <c r="N49" s="7"/>
      <c r="O49" s="2"/>
      <c r="P49" s="2"/>
      <c r="Q49" s="2"/>
    </row>
    <row r="50" spans="1:17">
      <c r="A50" s="7"/>
      <c r="B50" s="6"/>
      <c r="C50" s="6"/>
      <c r="D50" s="6" t="s">
        <v>136</v>
      </c>
      <c r="E50" s="6" t="s">
        <v>139</v>
      </c>
      <c r="F50" s="6"/>
      <c r="G50" s="6" t="s">
        <v>135</v>
      </c>
      <c r="H50" s="6"/>
      <c r="I50" s="13" t="s">
        <v>137</v>
      </c>
      <c r="J50" s="13"/>
      <c r="K50" s="6"/>
      <c r="L50" s="6"/>
      <c r="M50" s="6"/>
      <c r="N50" s="7"/>
      <c r="O50" s="19"/>
      <c r="P50" s="19"/>
      <c r="Q50" s="19"/>
    </row>
    <row r="51" spans="1:17">
      <c r="A51" s="7"/>
      <c r="B51" s="6"/>
      <c r="C51" s="6"/>
      <c r="D51" s="7"/>
      <c r="E51" s="7"/>
      <c r="F51" s="7"/>
      <c r="G51" s="13"/>
      <c r="H51" s="13"/>
      <c r="I51" s="13"/>
      <c r="J51" s="7"/>
      <c r="N51" s="7"/>
      <c r="O51" s="20"/>
      <c r="P51" s="20"/>
      <c r="Q51" s="20"/>
    </row>
    <row r="52" spans="1:17">
      <c r="A52" s="7"/>
      <c r="B52" s="6"/>
      <c r="C52" s="7"/>
      <c r="D52" s="7"/>
      <c r="E52" s="7"/>
      <c r="F52" s="7"/>
      <c r="G52" s="7"/>
      <c r="H52" s="7"/>
      <c r="I52" s="13"/>
      <c r="J52" s="7"/>
      <c r="N52" s="7"/>
      <c r="O52" s="20"/>
      <c r="P52" s="20"/>
      <c r="Q52" s="20"/>
    </row>
    <row r="53" spans="1:17">
      <c r="A53" s="15" t="s">
        <v>118</v>
      </c>
      <c r="B53" s="15"/>
      <c r="C53" s="15"/>
      <c r="D53" s="15"/>
      <c r="E53" s="15"/>
      <c r="F53" s="15"/>
      <c r="G53" s="15"/>
      <c r="H53" s="15"/>
      <c r="I53" s="7"/>
      <c r="J53" s="7"/>
      <c r="N53" s="7"/>
      <c r="O53" s="2" t="s">
        <v>128</v>
      </c>
      <c r="P53" s="2" t="s">
        <v>148</v>
      </c>
      <c r="Q53" s="2" t="s">
        <v>127</v>
      </c>
    </row>
    <row r="54" spans="1:17">
      <c r="A54" s="15"/>
      <c r="B54" s="2" t="s">
        <v>97</v>
      </c>
      <c r="C54" s="2" t="s">
        <v>119</v>
      </c>
      <c r="D54" s="2" t="s">
        <v>120</v>
      </c>
      <c r="E54" s="3" t="s">
        <v>105</v>
      </c>
      <c r="F54" s="3" t="s">
        <v>106</v>
      </c>
      <c r="G54" s="3" t="s">
        <v>107</v>
      </c>
      <c r="H54" s="15"/>
      <c r="I54" s="7"/>
      <c r="J54" s="7"/>
      <c r="N54" s="7"/>
      <c r="O54" s="2">
        <v>0</v>
      </c>
      <c r="P54" s="2" t="s">
        <v>112</v>
      </c>
      <c r="Q54" s="2" t="s">
        <v>157</v>
      </c>
    </row>
    <row r="55" spans="1:17">
      <c r="A55" s="15"/>
      <c r="B55" s="2" t="s">
        <v>100</v>
      </c>
      <c r="C55" s="2">
        <v>4</v>
      </c>
      <c r="D55" s="2">
        <v>5</v>
      </c>
      <c r="E55" s="2">
        <v>9</v>
      </c>
      <c r="F55" s="2">
        <f>E55-C55</f>
        <v>5</v>
      </c>
      <c r="G55" s="2">
        <f>F55-D55</f>
        <v>0</v>
      </c>
      <c r="H55" s="15"/>
      <c r="O55" s="2">
        <v>1</v>
      </c>
      <c r="P55" s="2" t="s">
        <v>112</v>
      </c>
      <c r="Q55" s="2" t="s">
        <v>157</v>
      </c>
    </row>
    <row r="56" spans="1:17">
      <c r="A56" s="15"/>
      <c r="B56" s="2" t="s">
        <v>101</v>
      </c>
      <c r="C56" s="2">
        <v>4</v>
      </c>
      <c r="D56" s="2">
        <v>10</v>
      </c>
      <c r="E56" s="2">
        <v>23</v>
      </c>
      <c r="F56" s="2">
        <f t="shared" ref="F56:F59" si="6">E56-C56</f>
        <v>19</v>
      </c>
      <c r="G56" s="2">
        <f t="shared" ref="G56:G59" si="7">F56-D56</f>
        <v>9</v>
      </c>
      <c r="H56" s="15"/>
      <c r="O56" s="2">
        <v>2</v>
      </c>
      <c r="P56" s="2"/>
      <c r="Q56" s="2"/>
    </row>
    <row r="57" spans="1:17">
      <c r="A57" s="15"/>
      <c r="B57" s="2" t="s">
        <v>102</v>
      </c>
      <c r="C57" s="2">
        <v>0</v>
      </c>
      <c r="D57" s="2">
        <v>2</v>
      </c>
      <c r="E57" s="2">
        <v>2</v>
      </c>
      <c r="F57" s="2">
        <f t="shared" si="6"/>
        <v>2</v>
      </c>
      <c r="G57" s="2">
        <f t="shared" si="7"/>
        <v>0</v>
      </c>
      <c r="H57" s="15"/>
      <c r="O57" s="2">
        <v>3</v>
      </c>
      <c r="P57" s="2" t="s">
        <v>113</v>
      </c>
      <c r="Q57" s="2" t="s">
        <v>165</v>
      </c>
    </row>
    <row r="58" spans="1:17">
      <c r="A58" s="15"/>
      <c r="B58" s="2" t="s">
        <v>103</v>
      </c>
      <c r="C58" s="2">
        <v>3</v>
      </c>
      <c r="D58" s="2">
        <v>1</v>
      </c>
      <c r="E58" s="2">
        <v>4</v>
      </c>
      <c r="F58" s="2">
        <f t="shared" si="6"/>
        <v>1</v>
      </c>
      <c r="G58" s="2">
        <f t="shared" si="7"/>
        <v>0</v>
      </c>
      <c r="H58" s="15"/>
      <c r="O58" s="2">
        <v>4</v>
      </c>
      <c r="P58" s="2" t="s">
        <v>172</v>
      </c>
      <c r="Q58" s="2" t="s">
        <v>150</v>
      </c>
    </row>
    <row r="59" spans="1:17">
      <c r="A59" s="15"/>
      <c r="B59" s="2" t="s">
        <v>104</v>
      </c>
      <c r="C59" s="2">
        <v>8</v>
      </c>
      <c r="D59" s="2">
        <v>4</v>
      </c>
      <c r="E59" s="2">
        <v>13</v>
      </c>
      <c r="F59" s="2">
        <f t="shared" si="6"/>
        <v>5</v>
      </c>
      <c r="G59" s="2">
        <f t="shared" si="7"/>
        <v>1</v>
      </c>
      <c r="H59" s="15"/>
      <c r="O59" s="2">
        <v>5</v>
      </c>
      <c r="P59" s="2" t="s">
        <v>172</v>
      </c>
      <c r="Q59" s="2" t="s">
        <v>150</v>
      </c>
    </row>
    <row r="60" spans="1:17">
      <c r="A60" s="15"/>
      <c r="B60" s="15"/>
      <c r="C60" s="15"/>
      <c r="D60" s="15"/>
      <c r="E60" s="15" t="s">
        <v>115</v>
      </c>
      <c r="F60" s="3">
        <f>SUM(F55:F59)/5</f>
        <v>6.4</v>
      </c>
      <c r="G60" s="3">
        <f>SUM(G55:G59)/5</f>
        <v>2</v>
      </c>
      <c r="H60" s="15"/>
      <c r="O60" s="2">
        <v>6</v>
      </c>
      <c r="P60" s="2" t="s">
        <v>172</v>
      </c>
      <c r="Q60" s="2" t="s">
        <v>150</v>
      </c>
    </row>
    <row r="61" spans="1:17">
      <c r="O61" s="2">
        <v>7</v>
      </c>
      <c r="P61" s="2" t="s">
        <v>172</v>
      </c>
      <c r="Q61" s="2" t="s">
        <v>150</v>
      </c>
    </row>
    <row r="62" spans="1:17">
      <c r="O62" s="2">
        <v>8</v>
      </c>
      <c r="P62" s="2" t="s">
        <v>180</v>
      </c>
      <c r="Q62" s="2" t="s">
        <v>150</v>
      </c>
    </row>
    <row r="63" spans="1:17">
      <c r="A63" s="15">
        <v>0</v>
      </c>
      <c r="B63" s="15"/>
      <c r="C63" s="4">
        <v>1</v>
      </c>
      <c r="D63" s="4">
        <v>2</v>
      </c>
      <c r="E63" s="4">
        <v>3</v>
      </c>
      <c r="F63" s="4">
        <v>4</v>
      </c>
      <c r="G63" s="4">
        <v>5</v>
      </c>
      <c r="H63" s="4">
        <v>6</v>
      </c>
      <c r="I63" s="4">
        <v>7</v>
      </c>
      <c r="J63" s="4">
        <v>8</v>
      </c>
      <c r="K63" s="4">
        <v>9</v>
      </c>
      <c r="L63" s="4">
        <v>13</v>
      </c>
      <c r="M63" s="4">
        <v>23</v>
      </c>
      <c r="N63" s="4"/>
      <c r="O63" s="2">
        <v>9</v>
      </c>
      <c r="P63" s="2" t="s">
        <v>178</v>
      </c>
      <c r="Q63" s="2" t="s">
        <v>170</v>
      </c>
    </row>
    <row r="64" spans="1:17">
      <c r="A64" s="15"/>
      <c r="B64" s="22" t="s">
        <v>112</v>
      </c>
      <c r="C64" s="5" t="s">
        <v>112</v>
      </c>
      <c r="D64" s="23"/>
      <c r="E64" s="5" t="s">
        <v>113</v>
      </c>
      <c r="F64" s="5" t="s">
        <v>110</v>
      </c>
      <c r="G64" s="5" t="s">
        <v>110</v>
      </c>
      <c r="H64" s="5" t="s">
        <v>110</v>
      </c>
      <c r="I64" s="5" t="s">
        <v>110</v>
      </c>
      <c r="J64" s="5" t="s">
        <v>110</v>
      </c>
      <c r="K64" s="5" t="s">
        <v>114</v>
      </c>
      <c r="L64" s="5" t="s">
        <v>111</v>
      </c>
      <c r="M64" s="5"/>
      <c r="N64" s="21"/>
      <c r="O64" s="2">
        <v>13</v>
      </c>
      <c r="P64" s="2" t="s">
        <v>181</v>
      </c>
      <c r="Q64" s="2" t="s">
        <v>179</v>
      </c>
    </row>
    <row r="65" spans="1:17">
      <c r="A65" s="6" t="s">
        <v>136</v>
      </c>
      <c r="B65" s="6" t="s">
        <v>139</v>
      </c>
      <c r="C65" s="6"/>
      <c r="D65" s="6" t="s">
        <v>135</v>
      </c>
      <c r="E65" s="6" t="s">
        <v>133</v>
      </c>
      <c r="F65" s="6" t="s">
        <v>151</v>
      </c>
      <c r="G65" s="6" t="s">
        <v>160</v>
      </c>
      <c r="H65" s="6" t="s">
        <v>162</v>
      </c>
      <c r="I65" s="6" t="s">
        <v>176</v>
      </c>
      <c r="J65" s="6" t="s">
        <v>134</v>
      </c>
      <c r="K65" s="6" t="s">
        <v>134</v>
      </c>
      <c r="L65" s="6"/>
      <c r="M65" s="6"/>
      <c r="N65" s="4"/>
      <c r="O65" s="2"/>
      <c r="P65" s="2"/>
      <c r="Q65" s="2"/>
    </row>
    <row r="66" spans="1:17">
      <c r="A66" s="15"/>
      <c r="B66" s="6"/>
      <c r="C66" s="6"/>
      <c r="D66" s="6"/>
      <c r="E66" s="6" t="s">
        <v>134</v>
      </c>
      <c r="F66" s="6" t="s">
        <v>134</v>
      </c>
      <c r="G66" s="6" t="s">
        <v>134</v>
      </c>
      <c r="H66" s="6" t="s">
        <v>134</v>
      </c>
      <c r="I66" s="6" t="s">
        <v>134</v>
      </c>
      <c r="J66" s="13" t="s">
        <v>137</v>
      </c>
      <c r="K66" s="6"/>
      <c r="L66" s="6"/>
      <c r="M66" s="6"/>
      <c r="N66" s="15"/>
      <c r="O66" s="2"/>
      <c r="P66" s="2"/>
      <c r="Q66" s="2"/>
    </row>
    <row r="67" spans="1:17">
      <c r="A67" s="15"/>
      <c r="B67" s="6"/>
      <c r="C67" s="6"/>
      <c r="D67" s="6"/>
      <c r="E67" s="6"/>
      <c r="F67" s="6"/>
      <c r="G67" s="6"/>
      <c r="H67" s="6"/>
      <c r="I67" s="13" t="s">
        <v>137</v>
      </c>
      <c r="J67" s="13"/>
      <c r="K67" s="6"/>
      <c r="L67" s="6"/>
      <c r="M67" s="6"/>
      <c r="N67" s="15"/>
      <c r="O67" s="2"/>
      <c r="P67" s="2"/>
      <c r="Q67" s="2"/>
    </row>
    <row r="68" spans="1:17">
      <c r="A68" s="15"/>
      <c r="B68" s="6"/>
      <c r="C68" s="6"/>
      <c r="D68" s="15"/>
      <c r="E68" s="15"/>
      <c r="F68" s="15"/>
      <c r="G68" s="13"/>
      <c r="H68" s="13"/>
      <c r="I68" s="13"/>
      <c r="J68" s="15"/>
      <c r="K68" s="15"/>
      <c r="L68" s="15"/>
      <c r="M68" s="15"/>
      <c r="N68" s="15"/>
      <c r="O68" s="2"/>
      <c r="P68" s="2"/>
      <c r="Q68" s="2"/>
    </row>
    <row r="69" spans="1:17">
      <c r="O69" s="2"/>
      <c r="P69" s="2"/>
      <c r="Q69" s="2"/>
    </row>
    <row r="70" spans="1:17">
      <c r="O70" s="2"/>
      <c r="P70" s="2"/>
      <c r="Q70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workbookViewId="0">
      <selection sqref="A1:K1048576"/>
    </sheetView>
  </sheetViews>
  <sheetFormatPr defaultRowHeight="15.75"/>
  <cols>
    <col min="5" max="5" width="9" style="15"/>
  </cols>
  <sheetData>
    <row r="1" spans="1:11">
      <c r="A1" s="15" t="s">
        <v>116</v>
      </c>
      <c r="B1" s="15"/>
      <c r="C1" s="15"/>
      <c r="D1" s="15"/>
      <c r="F1" s="15"/>
      <c r="G1" s="15"/>
      <c r="H1" s="15"/>
      <c r="I1" s="15"/>
      <c r="J1" s="15"/>
      <c r="K1" s="15"/>
    </row>
    <row r="2" spans="1:11">
      <c r="A2" s="15"/>
      <c r="B2" s="2" t="s">
        <v>97</v>
      </c>
      <c r="C2" s="2" t="s">
        <v>98</v>
      </c>
      <c r="D2" s="2" t="s">
        <v>99</v>
      </c>
      <c r="E2" s="2" t="s">
        <v>182</v>
      </c>
      <c r="F2" s="3" t="s">
        <v>105</v>
      </c>
      <c r="G2" s="3" t="s">
        <v>106</v>
      </c>
      <c r="H2" s="3" t="s">
        <v>107</v>
      </c>
      <c r="I2" s="15"/>
      <c r="J2" s="15"/>
      <c r="K2" s="15"/>
    </row>
    <row r="3" spans="1:11">
      <c r="A3" s="15"/>
      <c r="B3" s="2" t="s">
        <v>100</v>
      </c>
      <c r="C3" s="2">
        <v>0</v>
      </c>
      <c r="D3" s="2">
        <v>5</v>
      </c>
      <c r="E3" s="2">
        <v>2</v>
      </c>
      <c r="F3" s="2">
        <v>15</v>
      </c>
      <c r="G3" s="2">
        <f>F3-C3</f>
        <v>15</v>
      </c>
      <c r="H3" s="2">
        <f>G3-D3</f>
        <v>10</v>
      </c>
      <c r="I3" s="15"/>
      <c r="J3" s="15" t="s">
        <v>108</v>
      </c>
      <c r="K3" s="15"/>
    </row>
    <row r="4" spans="1:11">
      <c r="A4" s="15"/>
      <c r="B4" s="2" t="s">
        <v>101</v>
      </c>
      <c r="C4" s="2">
        <v>0</v>
      </c>
      <c r="D4" s="2">
        <v>10</v>
      </c>
      <c r="E4" s="2">
        <v>1</v>
      </c>
      <c r="F4" s="2">
        <v>10</v>
      </c>
      <c r="G4" s="2">
        <f t="shared" ref="G4:G7" si="0">F4-C4</f>
        <v>10</v>
      </c>
      <c r="H4" s="2">
        <f t="shared" ref="H4:H7" si="1">G4-D4</f>
        <v>0</v>
      </c>
      <c r="I4" s="15"/>
      <c r="J4" s="15" t="s">
        <v>109</v>
      </c>
      <c r="K4" s="15"/>
    </row>
    <row r="5" spans="1:11">
      <c r="A5" s="15"/>
      <c r="B5" s="2" t="s">
        <v>102</v>
      </c>
      <c r="C5" s="2">
        <v>0</v>
      </c>
      <c r="D5" s="2">
        <v>2</v>
      </c>
      <c r="E5" s="2">
        <v>4</v>
      </c>
      <c r="F5" s="2">
        <v>21</v>
      </c>
      <c r="G5" s="2">
        <f t="shared" si="0"/>
        <v>21</v>
      </c>
      <c r="H5" s="2">
        <f t="shared" si="1"/>
        <v>19</v>
      </c>
      <c r="I5" s="15"/>
      <c r="J5" s="15"/>
      <c r="K5" s="15"/>
    </row>
    <row r="6" spans="1:11">
      <c r="A6" s="15"/>
      <c r="B6" s="2" t="s">
        <v>103</v>
      </c>
      <c r="C6" s="2">
        <v>0</v>
      </c>
      <c r="D6" s="2">
        <v>1</v>
      </c>
      <c r="E6" s="2">
        <v>5</v>
      </c>
      <c r="F6" s="2">
        <v>22</v>
      </c>
      <c r="G6" s="2">
        <f t="shared" si="0"/>
        <v>22</v>
      </c>
      <c r="H6" s="2">
        <f t="shared" si="1"/>
        <v>21</v>
      </c>
      <c r="I6" s="15"/>
      <c r="J6" s="15"/>
      <c r="K6" s="15"/>
    </row>
    <row r="7" spans="1:11">
      <c r="A7" s="15"/>
      <c r="B7" s="2" t="s">
        <v>104</v>
      </c>
      <c r="C7" s="2">
        <v>0</v>
      </c>
      <c r="D7" s="2">
        <v>4</v>
      </c>
      <c r="E7" s="2">
        <v>3</v>
      </c>
      <c r="F7" s="2">
        <v>19</v>
      </c>
      <c r="G7" s="2">
        <f t="shared" si="0"/>
        <v>19</v>
      </c>
      <c r="H7" s="2">
        <f t="shared" si="1"/>
        <v>15</v>
      </c>
      <c r="I7" s="15"/>
      <c r="J7" s="15"/>
      <c r="K7" s="15"/>
    </row>
    <row r="8" spans="1:11">
      <c r="A8" s="15"/>
      <c r="B8" s="15"/>
      <c r="C8" s="15"/>
      <c r="D8" s="15"/>
      <c r="F8" s="15" t="s">
        <v>115</v>
      </c>
      <c r="G8" s="3">
        <f>SUM(G3:G7)/5</f>
        <v>17.399999999999999</v>
      </c>
      <c r="H8" s="3">
        <f>SUM(H3:H7)/5</f>
        <v>13</v>
      </c>
      <c r="I8" s="15"/>
      <c r="J8" s="15"/>
      <c r="K8" s="15"/>
    </row>
    <row r="9" spans="1:11">
      <c r="A9" s="15"/>
      <c r="B9" s="15"/>
      <c r="C9" s="15"/>
      <c r="D9" s="15"/>
      <c r="F9" s="15"/>
      <c r="G9" s="15"/>
      <c r="H9" s="15"/>
      <c r="I9" s="15"/>
      <c r="J9" s="15"/>
      <c r="K9" s="15"/>
    </row>
    <row r="10" spans="1:11">
      <c r="A10" s="15">
        <v>0</v>
      </c>
      <c r="B10" s="4"/>
      <c r="C10" s="4">
        <v>10</v>
      </c>
      <c r="D10" s="4">
        <v>15</v>
      </c>
      <c r="E10" s="4">
        <v>19</v>
      </c>
      <c r="F10" s="4">
        <v>21</v>
      </c>
      <c r="G10" s="4">
        <v>22</v>
      </c>
      <c r="H10" s="4"/>
      <c r="I10" s="4"/>
      <c r="J10" s="4"/>
      <c r="K10" s="4"/>
    </row>
    <row r="11" spans="1:11">
      <c r="A11" s="15"/>
      <c r="B11" s="5" t="s">
        <v>111</v>
      </c>
      <c r="C11" s="5" t="s">
        <v>110</v>
      </c>
      <c r="D11" s="5" t="s">
        <v>114</v>
      </c>
      <c r="E11" s="5" t="s">
        <v>112</v>
      </c>
      <c r="F11" s="5" t="s">
        <v>113</v>
      </c>
      <c r="G11" s="5"/>
      <c r="H11" s="5"/>
      <c r="I11" s="5"/>
      <c r="J11" s="5"/>
      <c r="K11" s="5"/>
    </row>
    <row r="12" spans="1:11">
      <c r="A12" s="6" t="s">
        <v>110</v>
      </c>
      <c r="B12" s="6" t="s">
        <v>110</v>
      </c>
      <c r="C12" s="6" t="s">
        <v>112</v>
      </c>
      <c r="D12" s="6" t="s">
        <v>112</v>
      </c>
      <c r="E12" s="6" t="s">
        <v>113</v>
      </c>
      <c r="F12" s="6"/>
      <c r="G12" s="4"/>
      <c r="H12" s="4"/>
      <c r="I12" s="4"/>
      <c r="J12" s="4"/>
      <c r="K12" s="4"/>
    </row>
    <row r="13" spans="1:11">
      <c r="A13" s="6" t="s">
        <v>111</v>
      </c>
      <c r="B13" s="6" t="s">
        <v>112</v>
      </c>
      <c r="C13" s="6" t="s">
        <v>113</v>
      </c>
      <c r="D13" s="6" t="s">
        <v>113</v>
      </c>
      <c r="E13" s="6"/>
      <c r="F13" s="15"/>
      <c r="G13" s="15"/>
      <c r="H13" s="15"/>
      <c r="I13" s="15"/>
      <c r="J13" s="15"/>
      <c r="K13" s="15"/>
    </row>
    <row r="14" spans="1:11">
      <c r="A14" s="6" t="s">
        <v>112</v>
      </c>
      <c r="B14" s="6" t="s">
        <v>113</v>
      </c>
      <c r="C14" s="6" t="s">
        <v>114</v>
      </c>
      <c r="D14" s="15"/>
      <c r="F14" s="15"/>
      <c r="G14" s="15"/>
      <c r="H14" s="15"/>
      <c r="I14" s="15"/>
      <c r="J14" s="15"/>
      <c r="K14" s="15"/>
    </row>
    <row r="15" spans="1:11">
      <c r="A15" s="6" t="s">
        <v>113</v>
      </c>
      <c r="B15" s="6" t="s">
        <v>114</v>
      </c>
      <c r="C15" s="15"/>
      <c r="D15" s="15"/>
      <c r="F15" s="15"/>
      <c r="G15" s="15"/>
      <c r="H15" s="15"/>
      <c r="I15" s="15"/>
      <c r="J15" s="15"/>
      <c r="K15" s="15"/>
    </row>
    <row r="16" spans="1:11">
      <c r="A16" s="6" t="s">
        <v>114</v>
      </c>
      <c r="B16" s="15"/>
      <c r="C16" s="15"/>
      <c r="D16" s="15"/>
      <c r="F16" s="15"/>
      <c r="G16" s="15"/>
      <c r="H16" s="15"/>
      <c r="I16" s="15"/>
      <c r="J16" s="15"/>
      <c r="K16" s="15"/>
    </row>
    <row r="18" spans="1:13">
      <c r="A18" s="18" t="s">
        <v>117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>
      <c r="A19" s="18"/>
      <c r="B19" s="2" t="s">
        <v>97</v>
      </c>
      <c r="C19" s="2" t="s">
        <v>119</v>
      </c>
      <c r="D19" s="2" t="s">
        <v>120</v>
      </c>
      <c r="E19" s="2" t="s">
        <v>182</v>
      </c>
      <c r="F19" s="3" t="s">
        <v>105</v>
      </c>
      <c r="G19" s="3" t="s">
        <v>106</v>
      </c>
      <c r="H19" s="3" t="s">
        <v>107</v>
      </c>
      <c r="I19" s="18"/>
      <c r="J19" s="18"/>
      <c r="K19" s="18"/>
      <c r="L19" s="18"/>
      <c r="M19" s="18"/>
    </row>
    <row r="20" spans="1:13">
      <c r="A20" s="18"/>
      <c r="B20" s="2" t="s">
        <v>100</v>
      </c>
      <c r="C20" s="5">
        <v>1</v>
      </c>
      <c r="D20" s="5">
        <v>5</v>
      </c>
      <c r="E20" s="5">
        <v>2</v>
      </c>
      <c r="F20" s="2">
        <v>6</v>
      </c>
      <c r="G20" s="2">
        <f>F20-C20</f>
        <v>5</v>
      </c>
      <c r="H20" s="2">
        <f>G20-D20</f>
        <v>0</v>
      </c>
      <c r="I20" s="18"/>
      <c r="J20" s="18"/>
      <c r="K20" s="18"/>
      <c r="L20" s="18"/>
      <c r="M20" s="18"/>
    </row>
    <row r="21" spans="1:13">
      <c r="A21" s="18"/>
      <c r="B21" s="2" t="s">
        <v>101</v>
      </c>
      <c r="C21" s="5">
        <v>2</v>
      </c>
      <c r="D21" s="5">
        <v>10</v>
      </c>
      <c r="E21" s="5">
        <v>1</v>
      </c>
      <c r="F21" s="2">
        <v>16</v>
      </c>
      <c r="G21" s="2">
        <f t="shared" ref="G21:G24" si="2">F21-C21</f>
        <v>14</v>
      </c>
      <c r="H21" s="2">
        <f t="shared" ref="H21:H24" si="3">G21-D21</f>
        <v>4</v>
      </c>
      <c r="I21" s="18"/>
      <c r="J21" s="18"/>
      <c r="K21" s="18"/>
      <c r="L21" s="18"/>
      <c r="M21" s="18"/>
    </row>
    <row r="22" spans="1:13">
      <c r="A22" s="18"/>
      <c r="B22" s="2" t="s">
        <v>102</v>
      </c>
      <c r="C22" s="5">
        <v>3</v>
      </c>
      <c r="D22" s="5">
        <v>2</v>
      </c>
      <c r="E22" s="5">
        <v>4</v>
      </c>
      <c r="F22" s="2">
        <v>22</v>
      </c>
      <c r="G22" s="2">
        <f t="shared" si="2"/>
        <v>19</v>
      </c>
      <c r="H22" s="2">
        <f t="shared" si="3"/>
        <v>17</v>
      </c>
      <c r="I22" s="18"/>
      <c r="J22" s="18"/>
      <c r="K22" s="18"/>
      <c r="L22" s="18"/>
      <c r="M22" s="18"/>
    </row>
    <row r="23" spans="1:13">
      <c r="A23" s="18"/>
      <c r="B23" s="2" t="s">
        <v>103</v>
      </c>
      <c r="C23" s="5">
        <v>6</v>
      </c>
      <c r="D23" s="5">
        <v>1</v>
      </c>
      <c r="E23" s="5">
        <v>5</v>
      </c>
      <c r="F23" s="2">
        <v>23</v>
      </c>
      <c r="G23" s="2">
        <f t="shared" si="2"/>
        <v>17</v>
      </c>
      <c r="H23" s="2">
        <f t="shared" si="3"/>
        <v>16</v>
      </c>
      <c r="I23" s="18"/>
      <c r="J23" s="18"/>
      <c r="K23" s="18"/>
      <c r="L23" s="18"/>
      <c r="M23" s="18"/>
    </row>
    <row r="24" spans="1:13">
      <c r="A24" s="18"/>
      <c r="B24" s="2" t="s">
        <v>104</v>
      </c>
      <c r="C24" s="5">
        <v>8</v>
      </c>
      <c r="D24" s="5">
        <v>4</v>
      </c>
      <c r="E24" s="5">
        <v>3</v>
      </c>
      <c r="F24" s="2">
        <v>20</v>
      </c>
      <c r="G24" s="2">
        <f t="shared" si="2"/>
        <v>12</v>
      </c>
      <c r="H24" s="2">
        <f t="shared" si="3"/>
        <v>8</v>
      </c>
      <c r="I24" s="18"/>
      <c r="J24" s="18"/>
      <c r="K24" s="18"/>
      <c r="L24" s="18"/>
      <c r="M24" s="18"/>
    </row>
    <row r="25" spans="1:13">
      <c r="A25" s="18"/>
      <c r="B25" s="18"/>
      <c r="C25" s="18"/>
      <c r="D25" s="18"/>
      <c r="E25" s="18" t="s">
        <v>115</v>
      </c>
      <c r="G25" s="3">
        <f>SUM(G20:G24)/5</f>
        <v>13.4</v>
      </c>
      <c r="H25" s="3">
        <f>SUM(H20:H24)/5</f>
        <v>9</v>
      </c>
      <c r="I25" s="18"/>
      <c r="J25" s="18"/>
      <c r="K25" s="18"/>
      <c r="L25" s="18"/>
      <c r="M25" s="18"/>
    </row>
    <row r="26" spans="1:1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>
      <c r="A27" s="18">
        <v>0</v>
      </c>
      <c r="B27" s="18"/>
      <c r="C27" s="4">
        <v>1</v>
      </c>
      <c r="D27" s="4">
        <v>6</v>
      </c>
      <c r="E27" s="4">
        <v>16</v>
      </c>
      <c r="F27" s="4">
        <v>20</v>
      </c>
      <c r="G27" s="4">
        <v>22</v>
      </c>
      <c r="H27" s="4">
        <v>23</v>
      </c>
      <c r="I27" s="4"/>
      <c r="J27" s="4"/>
      <c r="K27" s="4"/>
      <c r="L27" s="4"/>
      <c r="M27" s="4"/>
    </row>
    <row r="28" spans="1:13">
      <c r="A28" s="18"/>
      <c r="B28" s="17"/>
      <c r="C28" s="5" t="s">
        <v>110</v>
      </c>
      <c r="D28" s="5" t="s">
        <v>111</v>
      </c>
      <c r="E28" s="5" t="s">
        <v>114</v>
      </c>
      <c r="F28" s="5" t="s">
        <v>112</v>
      </c>
      <c r="G28" s="5" t="s">
        <v>113</v>
      </c>
      <c r="H28" s="5"/>
      <c r="I28" s="5"/>
      <c r="J28" s="5"/>
      <c r="K28" s="5"/>
      <c r="L28" s="5"/>
      <c r="M28" s="5"/>
    </row>
    <row r="29" spans="1:13">
      <c r="A29" s="18"/>
      <c r="B29" s="6" t="s">
        <v>133</v>
      </c>
      <c r="C29" s="6" t="s">
        <v>134</v>
      </c>
      <c r="D29" s="6" t="s">
        <v>136</v>
      </c>
      <c r="E29" s="6" t="s">
        <v>136</v>
      </c>
      <c r="F29" s="6" t="s">
        <v>135</v>
      </c>
      <c r="G29" s="6"/>
      <c r="H29" s="6"/>
      <c r="I29" s="6"/>
      <c r="J29" s="6"/>
      <c r="K29" s="6"/>
      <c r="L29" s="6"/>
      <c r="M29" s="6"/>
    </row>
    <row r="30" spans="1:13">
      <c r="A30" s="18"/>
      <c r="B30" s="6"/>
      <c r="C30" s="6" t="s">
        <v>136</v>
      </c>
      <c r="D30" s="6" t="s">
        <v>135</v>
      </c>
      <c r="E30" s="6" t="s">
        <v>135</v>
      </c>
      <c r="F30" s="6"/>
      <c r="G30" s="6"/>
      <c r="H30" s="6"/>
      <c r="I30" s="6"/>
      <c r="J30" s="13"/>
      <c r="K30" s="6"/>
      <c r="L30" s="6"/>
      <c r="M30" s="6"/>
    </row>
    <row r="31" spans="1:13">
      <c r="A31" s="18"/>
      <c r="B31" s="6"/>
      <c r="C31" s="6" t="s">
        <v>135</v>
      </c>
      <c r="D31" s="6" t="s">
        <v>137</v>
      </c>
      <c r="E31" s="6"/>
      <c r="F31" s="6"/>
      <c r="G31" s="6"/>
      <c r="H31" s="6"/>
      <c r="I31" s="13"/>
      <c r="J31" s="13"/>
      <c r="K31" s="6"/>
      <c r="L31" s="6"/>
      <c r="M31" s="6"/>
    </row>
    <row r="32" spans="1:13">
      <c r="A32" s="18"/>
      <c r="B32" s="6"/>
      <c r="C32" s="6"/>
      <c r="D32" s="18"/>
      <c r="E32" s="18"/>
      <c r="F32" s="18"/>
      <c r="G32" s="13"/>
      <c r="H32" s="13"/>
      <c r="I32" s="13"/>
      <c r="J32" s="18"/>
      <c r="K32" s="18"/>
      <c r="L32" s="18"/>
      <c r="M32" s="18"/>
    </row>
    <row r="33" spans="1:14">
      <c r="A33" s="18"/>
      <c r="B33" s="6"/>
      <c r="C33" s="18"/>
      <c r="D33" s="18"/>
      <c r="E33" s="18"/>
      <c r="F33" s="18"/>
      <c r="G33" s="18"/>
      <c r="H33" s="18"/>
      <c r="I33" s="13"/>
      <c r="J33" s="18"/>
      <c r="K33" s="18"/>
      <c r="L33" s="18"/>
      <c r="M33" s="18"/>
    </row>
    <row r="35" spans="1:14">
      <c r="A35" s="18" t="s">
        <v>118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4">
      <c r="A36" s="18"/>
      <c r="B36" s="2" t="s">
        <v>97</v>
      </c>
      <c r="C36" s="2" t="s">
        <v>119</v>
      </c>
      <c r="D36" s="2" t="s">
        <v>120</v>
      </c>
      <c r="E36" s="2" t="s">
        <v>182</v>
      </c>
      <c r="F36" s="3" t="s">
        <v>105</v>
      </c>
      <c r="G36" s="3" t="s">
        <v>106</v>
      </c>
      <c r="H36" s="3" t="s">
        <v>107</v>
      </c>
      <c r="I36" s="18"/>
      <c r="J36" s="18"/>
      <c r="K36" s="18"/>
      <c r="L36" s="18"/>
      <c r="M36" s="18"/>
    </row>
    <row r="37" spans="1:14">
      <c r="A37" s="18"/>
      <c r="B37" s="2" t="s">
        <v>100</v>
      </c>
      <c r="C37" s="5">
        <v>4</v>
      </c>
      <c r="D37" s="5">
        <v>5</v>
      </c>
      <c r="E37" s="5">
        <v>2</v>
      </c>
      <c r="F37" s="2">
        <v>19</v>
      </c>
      <c r="G37" s="2">
        <f>F37-C37</f>
        <v>15</v>
      </c>
      <c r="H37" s="2">
        <f>G37-D37</f>
        <v>10</v>
      </c>
      <c r="I37" s="18"/>
      <c r="J37" s="18"/>
      <c r="K37" s="18"/>
      <c r="L37" s="18"/>
      <c r="M37" s="18"/>
    </row>
    <row r="38" spans="1:14">
      <c r="A38" s="18"/>
      <c r="B38" s="2" t="s">
        <v>101</v>
      </c>
      <c r="C38" s="5">
        <v>4</v>
      </c>
      <c r="D38" s="5">
        <v>10</v>
      </c>
      <c r="E38" s="5">
        <v>1</v>
      </c>
      <c r="F38" s="2">
        <v>14</v>
      </c>
      <c r="G38" s="2">
        <f t="shared" ref="G38:G41" si="4">F38-C38</f>
        <v>10</v>
      </c>
      <c r="H38" s="2">
        <f t="shared" ref="H38:H41" si="5">G38-D38</f>
        <v>0</v>
      </c>
      <c r="I38" s="18"/>
      <c r="J38" s="18"/>
      <c r="K38" s="18"/>
      <c r="L38" s="18"/>
      <c r="M38" s="18"/>
    </row>
    <row r="39" spans="1:14">
      <c r="A39" s="18"/>
      <c r="B39" s="2" t="s">
        <v>102</v>
      </c>
      <c r="C39" s="5">
        <v>0</v>
      </c>
      <c r="D39" s="5">
        <v>2</v>
      </c>
      <c r="E39" s="5">
        <v>4</v>
      </c>
      <c r="F39" s="2">
        <v>2</v>
      </c>
      <c r="G39" s="2">
        <f t="shared" si="4"/>
        <v>2</v>
      </c>
      <c r="H39" s="2">
        <f t="shared" si="5"/>
        <v>0</v>
      </c>
      <c r="I39" s="18"/>
      <c r="J39" s="18"/>
      <c r="K39" s="18"/>
      <c r="L39" s="18"/>
      <c r="M39" s="18"/>
    </row>
    <row r="40" spans="1:14">
      <c r="A40" s="18"/>
      <c r="B40" s="2" t="s">
        <v>103</v>
      </c>
      <c r="C40" s="5">
        <v>3</v>
      </c>
      <c r="D40" s="5">
        <v>1</v>
      </c>
      <c r="E40" s="5">
        <v>5</v>
      </c>
      <c r="F40" s="2">
        <v>4</v>
      </c>
      <c r="G40" s="2">
        <f t="shared" si="4"/>
        <v>1</v>
      </c>
      <c r="H40" s="2">
        <f t="shared" si="5"/>
        <v>0</v>
      </c>
      <c r="I40" s="18"/>
      <c r="J40" s="18"/>
      <c r="K40" s="18"/>
      <c r="L40" s="18"/>
      <c r="M40" s="18"/>
    </row>
    <row r="41" spans="1:14">
      <c r="A41" s="18"/>
      <c r="B41" s="2" t="s">
        <v>104</v>
      </c>
      <c r="C41" s="5">
        <v>8</v>
      </c>
      <c r="D41" s="5">
        <v>4</v>
      </c>
      <c r="E41" s="5">
        <v>3</v>
      </c>
      <c r="F41" s="2">
        <v>23</v>
      </c>
      <c r="G41" s="2">
        <f t="shared" si="4"/>
        <v>15</v>
      </c>
      <c r="H41" s="2">
        <f t="shared" si="5"/>
        <v>11</v>
      </c>
      <c r="I41" s="18"/>
      <c r="J41" s="18"/>
      <c r="K41" s="18"/>
      <c r="L41" s="18"/>
      <c r="M41" s="18"/>
    </row>
    <row r="42" spans="1:14">
      <c r="A42" s="18"/>
      <c r="B42" s="18"/>
      <c r="C42" s="18"/>
      <c r="D42" s="18"/>
      <c r="E42" s="18" t="s">
        <v>115</v>
      </c>
      <c r="G42" s="3">
        <f>SUM(G37:G41)/5</f>
        <v>8.6</v>
      </c>
      <c r="H42" s="3">
        <f>SUM(H37:H41)/5</f>
        <v>4.2</v>
      </c>
      <c r="I42" s="18"/>
      <c r="J42" s="18"/>
      <c r="K42" s="18"/>
      <c r="L42" s="18"/>
      <c r="M42" s="18"/>
    </row>
    <row r="43" spans="1:1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4">
      <c r="A45" s="18">
        <v>0</v>
      </c>
      <c r="B45" s="25"/>
      <c r="C45" s="26">
        <v>2</v>
      </c>
      <c r="D45" s="26">
        <v>3</v>
      </c>
      <c r="E45" s="26">
        <v>4</v>
      </c>
      <c r="F45" s="26">
        <v>14</v>
      </c>
      <c r="G45" s="26">
        <v>19</v>
      </c>
      <c r="H45" s="26">
        <v>23</v>
      </c>
      <c r="I45" s="26"/>
      <c r="J45" s="26"/>
      <c r="K45" s="26"/>
      <c r="L45" s="26"/>
      <c r="M45" s="26"/>
      <c r="N45" s="25"/>
    </row>
    <row r="46" spans="1:14">
      <c r="A46" s="18"/>
      <c r="B46" s="27" t="s">
        <v>112</v>
      </c>
      <c r="C46" s="23"/>
      <c r="D46" s="27" t="s">
        <v>113</v>
      </c>
      <c r="E46" s="27" t="s">
        <v>111</v>
      </c>
      <c r="F46" s="27" t="s">
        <v>110</v>
      </c>
      <c r="G46" s="27" t="s">
        <v>114</v>
      </c>
      <c r="H46" s="27"/>
      <c r="I46" s="27"/>
      <c r="J46" s="27"/>
      <c r="K46" s="27"/>
      <c r="L46" s="27"/>
      <c r="M46" s="27"/>
      <c r="N46" s="25"/>
    </row>
    <row r="47" spans="1:14">
      <c r="A47" s="6" t="s">
        <v>136</v>
      </c>
      <c r="B47" s="28"/>
      <c r="C47" s="28" t="s">
        <v>113</v>
      </c>
      <c r="D47" s="28" t="s">
        <v>133</v>
      </c>
      <c r="E47" s="28" t="s">
        <v>133</v>
      </c>
      <c r="F47" s="28" t="s">
        <v>137</v>
      </c>
      <c r="G47" s="28"/>
      <c r="H47" s="28"/>
      <c r="I47" s="28"/>
      <c r="J47" s="28"/>
      <c r="K47" s="28"/>
      <c r="L47" s="28"/>
      <c r="M47" s="28"/>
      <c r="N47" s="25"/>
    </row>
    <row r="48" spans="1:14">
      <c r="A48" s="18"/>
      <c r="B48" s="28"/>
      <c r="C48" s="28"/>
      <c r="D48" s="28" t="s">
        <v>134</v>
      </c>
      <c r="E48" s="28" t="s">
        <v>137</v>
      </c>
      <c r="F48" s="28"/>
      <c r="G48" s="28"/>
      <c r="H48" s="28"/>
      <c r="I48" s="28"/>
      <c r="J48" s="29"/>
      <c r="K48" s="28"/>
      <c r="L48" s="28"/>
      <c r="M48" s="28"/>
      <c r="N48" s="25"/>
    </row>
    <row r="49" spans="1:14">
      <c r="A49" s="18"/>
      <c r="B49" s="28"/>
      <c r="C49" s="28"/>
      <c r="D49" s="28"/>
      <c r="E49" s="28"/>
      <c r="F49" s="28"/>
      <c r="G49" s="28"/>
      <c r="H49" s="28"/>
      <c r="I49" s="29"/>
      <c r="J49" s="29"/>
      <c r="K49" s="28"/>
      <c r="L49" s="28"/>
      <c r="M49" s="28"/>
      <c r="N49" s="25"/>
    </row>
    <row r="50" spans="1:14">
      <c r="A50" s="18"/>
      <c r="B50" s="28"/>
      <c r="C50" s="28"/>
      <c r="D50" s="25"/>
      <c r="E50" s="25"/>
      <c r="F50" s="25"/>
      <c r="G50" s="29"/>
      <c r="H50" s="29"/>
      <c r="I50" s="29"/>
      <c r="J50" s="25"/>
      <c r="K50" s="25"/>
      <c r="L50" s="25"/>
      <c r="M50" s="25"/>
      <c r="N50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0"/>
  <sheetViews>
    <sheetView topLeftCell="A11" workbookViewId="0">
      <selection activeCell="D27" sqref="D27"/>
    </sheetView>
  </sheetViews>
  <sheetFormatPr defaultRowHeight="15.75"/>
  <cols>
    <col min="1" max="4" width="9" style="18"/>
    <col min="5" max="8" width="7" style="18" customWidth="1"/>
    <col min="9" max="10" width="7.625" style="18" customWidth="1"/>
    <col min="11" max="11" width="6.5" style="18" customWidth="1"/>
    <col min="12" max="13" width="6.5" customWidth="1"/>
    <col min="14" max="14" width="6.25" customWidth="1"/>
    <col min="15" max="15" width="6.75" customWidth="1"/>
    <col min="16" max="16" width="19.375" customWidth="1"/>
    <col min="17" max="17" width="18.5" bestFit="1" customWidth="1"/>
  </cols>
  <sheetData>
    <row r="1" spans="1:14">
      <c r="A1" s="18" t="s">
        <v>116</v>
      </c>
      <c r="L1" s="2" t="s">
        <v>128</v>
      </c>
      <c r="M1" s="2" t="s">
        <v>148</v>
      </c>
      <c r="N1" s="2" t="s">
        <v>127</v>
      </c>
    </row>
    <row r="2" spans="1:14">
      <c r="B2" s="2" t="s">
        <v>97</v>
      </c>
      <c r="C2" s="2" t="s">
        <v>98</v>
      </c>
      <c r="D2" s="2" t="s">
        <v>99</v>
      </c>
      <c r="E2" s="2" t="s">
        <v>182</v>
      </c>
      <c r="F2" s="3" t="s">
        <v>105</v>
      </c>
      <c r="G2" s="3" t="s">
        <v>106</v>
      </c>
      <c r="H2" s="3" t="s">
        <v>107</v>
      </c>
      <c r="L2" s="5">
        <v>1</v>
      </c>
      <c r="M2" s="2" t="s">
        <v>183</v>
      </c>
      <c r="N2" s="2" t="s">
        <v>153</v>
      </c>
    </row>
    <row r="3" spans="1:14">
      <c r="B3" s="2" t="s">
        <v>100</v>
      </c>
      <c r="C3" s="2">
        <v>0</v>
      </c>
      <c r="D3" s="2">
        <v>5</v>
      </c>
      <c r="E3" s="2">
        <v>2</v>
      </c>
      <c r="F3" s="2">
        <v>15</v>
      </c>
      <c r="G3" s="2">
        <f>F3-C3</f>
        <v>15</v>
      </c>
      <c r="H3" s="2">
        <f>G3-D3</f>
        <v>10</v>
      </c>
      <c r="J3" s="18" t="s">
        <v>108</v>
      </c>
      <c r="L3" s="5">
        <v>2</v>
      </c>
      <c r="M3" s="2" t="s">
        <v>183</v>
      </c>
      <c r="N3" s="2" t="s">
        <v>153</v>
      </c>
    </row>
    <row r="4" spans="1:14">
      <c r="B4" s="2" t="s">
        <v>101</v>
      </c>
      <c r="C4" s="2">
        <v>0</v>
      </c>
      <c r="D4" s="2">
        <v>10</v>
      </c>
      <c r="E4" s="2">
        <v>1</v>
      </c>
      <c r="F4" s="2">
        <v>10</v>
      </c>
      <c r="G4" s="2">
        <f t="shared" ref="G4:G7" si="0">F4-C4</f>
        <v>10</v>
      </c>
      <c r="H4" s="2">
        <f t="shared" ref="H4:H7" si="1">G4-D4</f>
        <v>0</v>
      </c>
      <c r="J4" s="18" t="s">
        <v>109</v>
      </c>
      <c r="L4" s="5">
        <v>3</v>
      </c>
      <c r="M4" s="2" t="s">
        <v>183</v>
      </c>
      <c r="N4" s="2" t="s">
        <v>167</v>
      </c>
    </row>
    <row r="5" spans="1:14">
      <c r="B5" s="2" t="s">
        <v>102</v>
      </c>
      <c r="C5" s="2">
        <v>0</v>
      </c>
      <c r="D5" s="2">
        <v>2</v>
      </c>
      <c r="E5" s="2">
        <v>4</v>
      </c>
      <c r="F5" s="2">
        <v>21</v>
      </c>
      <c r="G5" s="2">
        <f t="shared" si="0"/>
        <v>21</v>
      </c>
      <c r="H5" s="2">
        <f t="shared" si="1"/>
        <v>19</v>
      </c>
      <c r="L5" s="5">
        <v>10</v>
      </c>
      <c r="M5" s="2" t="s">
        <v>186</v>
      </c>
      <c r="N5" s="2" t="s">
        <v>187</v>
      </c>
    </row>
    <row r="6" spans="1:14">
      <c r="B6" s="2" t="s">
        <v>103</v>
      </c>
      <c r="C6" s="2">
        <v>0</v>
      </c>
      <c r="D6" s="2">
        <v>1</v>
      </c>
      <c r="E6" s="2">
        <v>5</v>
      </c>
      <c r="F6" s="2">
        <v>22</v>
      </c>
      <c r="G6" s="2">
        <f t="shared" si="0"/>
        <v>22</v>
      </c>
      <c r="H6" s="2">
        <f t="shared" si="1"/>
        <v>21</v>
      </c>
      <c r="L6" s="5">
        <v>15</v>
      </c>
      <c r="M6" s="2" t="s">
        <v>188</v>
      </c>
      <c r="N6" s="2" t="s">
        <v>189</v>
      </c>
    </row>
    <row r="7" spans="1:14">
      <c r="B7" s="2" t="s">
        <v>104</v>
      </c>
      <c r="C7" s="2">
        <v>0</v>
      </c>
      <c r="D7" s="2">
        <v>4</v>
      </c>
      <c r="E7" s="2">
        <v>3</v>
      </c>
      <c r="F7" s="2">
        <v>19</v>
      </c>
      <c r="G7" s="2">
        <f t="shared" si="0"/>
        <v>19</v>
      </c>
      <c r="H7" s="2">
        <f t="shared" si="1"/>
        <v>15</v>
      </c>
      <c r="L7" s="5">
        <v>19</v>
      </c>
      <c r="M7" s="2" t="s">
        <v>190</v>
      </c>
      <c r="N7" s="2" t="s">
        <v>191</v>
      </c>
    </row>
    <row r="8" spans="1:14">
      <c r="F8" s="18" t="s">
        <v>115</v>
      </c>
      <c r="G8" s="3">
        <f>SUM(G3:G7)/5</f>
        <v>17.399999999999999</v>
      </c>
      <c r="H8" s="3">
        <f>SUM(H3:H7)/5</f>
        <v>13</v>
      </c>
      <c r="L8" s="5">
        <v>21</v>
      </c>
      <c r="M8" s="2" t="s">
        <v>113</v>
      </c>
      <c r="N8" s="2" t="s">
        <v>165</v>
      </c>
    </row>
    <row r="9" spans="1:14">
      <c r="L9" s="5">
        <v>22</v>
      </c>
      <c r="M9" s="2"/>
      <c r="N9" s="2"/>
    </row>
    <row r="10" spans="1:14">
      <c r="A10" s="18">
        <v>0</v>
      </c>
      <c r="B10" s="4"/>
      <c r="C10" s="4">
        <v>1</v>
      </c>
      <c r="D10" s="4">
        <v>2</v>
      </c>
      <c r="E10" s="4">
        <v>10</v>
      </c>
      <c r="F10" s="4">
        <v>15</v>
      </c>
      <c r="G10" s="4">
        <v>19</v>
      </c>
      <c r="H10" s="4">
        <v>21</v>
      </c>
      <c r="I10" s="4">
        <v>22</v>
      </c>
      <c r="J10" s="4"/>
      <c r="K10" s="4"/>
    </row>
    <row r="11" spans="1:14">
      <c r="B11" s="5" t="s">
        <v>111</v>
      </c>
      <c r="C11" s="5" t="s">
        <v>111</v>
      </c>
      <c r="D11" s="5" t="s">
        <v>111</v>
      </c>
      <c r="E11" s="5" t="s">
        <v>110</v>
      </c>
      <c r="F11" s="5" t="s">
        <v>114</v>
      </c>
      <c r="G11" s="5" t="s">
        <v>112</v>
      </c>
      <c r="H11" s="5" t="s">
        <v>113</v>
      </c>
      <c r="I11" s="5"/>
      <c r="J11" s="5"/>
      <c r="K11" s="5"/>
    </row>
    <row r="12" spans="1:14">
      <c r="A12" s="6" t="s">
        <v>133</v>
      </c>
      <c r="B12" s="6" t="s">
        <v>133</v>
      </c>
      <c r="C12" s="6" t="s">
        <v>133</v>
      </c>
      <c r="D12" s="6" t="s">
        <v>133</v>
      </c>
      <c r="E12" s="6" t="s">
        <v>136</v>
      </c>
      <c r="F12" s="6" t="s">
        <v>135</v>
      </c>
      <c r="G12" s="4" t="s">
        <v>135</v>
      </c>
      <c r="H12" s="4"/>
      <c r="I12" s="4"/>
      <c r="J12" s="4"/>
      <c r="K12" s="4"/>
    </row>
    <row r="13" spans="1:14">
      <c r="A13" s="6" t="s">
        <v>134</v>
      </c>
      <c r="B13" s="6" t="s">
        <v>184</v>
      </c>
      <c r="C13" s="6" t="s">
        <v>185</v>
      </c>
      <c r="D13" s="6" t="s">
        <v>136</v>
      </c>
      <c r="E13" s="6" t="s">
        <v>135</v>
      </c>
      <c r="F13" s="6" t="s">
        <v>136</v>
      </c>
    </row>
    <row r="14" spans="1:14">
      <c r="A14" s="6" t="s">
        <v>136</v>
      </c>
      <c r="B14" s="6" t="s">
        <v>136</v>
      </c>
      <c r="C14" s="6" t="s">
        <v>136</v>
      </c>
      <c r="D14" s="6" t="s">
        <v>135</v>
      </c>
      <c r="E14" s="6" t="s">
        <v>137</v>
      </c>
    </row>
    <row r="15" spans="1:14">
      <c r="A15" s="6" t="s">
        <v>135</v>
      </c>
      <c r="B15" s="6" t="s">
        <v>135</v>
      </c>
      <c r="C15" s="6" t="s">
        <v>135</v>
      </c>
      <c r="D15" s="6" t="s">
        <v>137</v>
      </c>
    </row>
    <row r="16" spans="1:14">
      <c r="A16" s="6" t="s">
        <v>137</v>
      </c>
      <c r="B16" s="6" t="s">
        <v>137</v>
      </c>
      <c r="C16" s="6" t="s">
        <v>137</v>
      </c>
    </row>
    <row r="18" spans="1:17">
      <c r="A18" s="18" t="s">
        <v>117</v>
      </c>
      <c r="O18" s="2" t="s">
        <v>128</v>
      </c>
      <c r="P18" s="2" t="s">
        <v>148</v>
      </c>
      <c r="Q18" s="2" t="s">
        <v>127</v>
      </c>
    </row>
    <row r="19" spans="1:17">
      <c r="B19" s="2" t="s">
        <v>97</v>
      </c>
      <c r="C19" s="2" t="s">
        <v>119</v>
      </c>
      <c r="D19" s="2" t="s">
        <v>120</v>
      </c>
      <c r="E19" s="2" t="s">
        <v>182</v>
      </c>
      <c r="F19" s="3" t="s">
        <v>105</v>
      </c>
      <c r="G19" s="3" t="s">
        <v>106</v>
      </c>
      <c r="H19" s="3" t="s">
        <v>107</v>
      </c>
      <c r="O19" s="5">
        <v>0</v>
      </c>
      <c r="P19" s="2" t="s">
        <v>149</v>
      </c>
      <c r="Q19" s="2"/>
    </row>
    <row r="20" spans="1:17">
      <c r="B20" s="2" t="s">
        <v>100</v>
      </c>
      <c r="C20" s="5">
        <v>1</v>
      </c>
      <c r="D20" s="5">
        <v>5</v>
      </c>
      <c r="E20" s="5">
        <v>2</v>
      </c>
      <c r="F20" s="2">
        <v>16</v>
      </c>
      <c r="G20" s="2">
        <f>F20-C20</f>
        <v>15</v>
      </c>
      <c r="H20" s="2">
        <f>G20-D20</f>
        <v>10</v>
      </c>
      <c r="O20" s="5">
        <v>1</v>
      </c>
      <c r="P20" s="2" t="s">
        <v>110</v>
      </c>
      <c r="Q20" s="2" t="s">
        <v>192</v>
      </c>
    </row>
    <row r="21" spans="1:17">
      <c r="B21" s="2" t="s">
        <v>101</v>
      </c>
      <c r="C21" s="5">
        <v>2</v>
      </c>
      <c r="D21" s="5">
        <v>10</v>
      </c>
      <c r="E21" s="5">
        <v>1</v>
      </c>
      <c r="F21" s="2">
        <v>12</v>
      </c>
      <c r="G21" s="2">
        <f t="shared" ref="G21:G24" si="2">F21-C21</f>
        <v>10</v>
      </c>
      <c r="H21" s="2">
        <f t="shared" ref="H21:H24" si="3">G21-D21</f>
        <v>0</v>
      </c>
      <c r="O21" s="5">
        <v>2</v>
      </c>
      <c r="P21" s="2" t="s">
        <v>172</v>
      </c>
      <c r="Q21" s="2" t="s">
        <v>193</v>
      </c>
    </row>
    <row r="22" spans="1:17">
      <c r="B22" s="2" t="s">
        <v>102</v>
      </c>
      <c r="C22" s="5">
        <v>3</v>
      </c>
      <c r="D22" s="5">
        <v>2</v>
      </c>
      <c r="E22" s="5">
        <v>4</v>
      </c>
      <c r="F22" s="2">
        <v>22</v>
      </c>
      <c r="G22" s="2">
        <f t="shared" si="2"/>
        <v>19</v>
      </c>
      <c r="H22" s="2">
        <f t="shared" si="3"/>
        <v>17</v>
      </c>
      <c r="O22" s="5">
        <v>3</v>
      </c>
      <c r="P22" s="2" t="s">
        <v>173</v>
      </c>
      <c r="Q22" s="2" t="s">
        <v>193</v>
      </c>
    </row>
    <row r="23" spans="1:17">
      <c r="B23" s="2" t="s">
        <v>103</v>
      </c>
      <c r="C23" s="5">
        <v>6</v>
      </c>
      <c r="D23" s="5">
        <v>1</v>
      </c>
      <c r="E23" s="5">
        <v>5</v>
      </c>
      <c r="F23" s="2">
        <v>23</v>
      </c>
      <c r="G23" s="2">
        <f t="shared" si="2"/>
        <v>17</v>
      </c>
      <c r="H23" s="2">
        <f t="shared" si="3"/>
        <v>16</v>
      </c>
      <c r="O23" s="5">
        <v>4</v>
      </c>
      <c r="P23" s="2" t="s">
        <v>173</v>
      </c>
      <c r="Q23" s="2" t="s">
        <v>193</v>
      </c>
    </row>
    <row r="24" spans="1:17">
      <c r="B24" s="2" t="s">
        <v>104</v>
      </c>
      <c r="C24" s="5">
        <v>8</v>
      </c>
      <c r="D24" s="5">
        <v>4</v>
      </c>
      <c r="E24" s="5">
        <v>3</v>
      </c>
      <c r="F24" s="2">
        <v>20</v>
      </c>
      <c r="G24" s="2">
        <f t="shared" si="2"/>
        <v>12</v>
      </c>
      <c r="H24" s="2">
        <f t="shared" si="3"/>
        <v>8</v>
      </c>
      <c r="O24" s="5">
        <v>5</v>
      </c>
      <c r="P24" s="2" t="s">
        <v>173</v>
      </c>
      <c r="Q24" s="2" t="s">
        <v>193</v>
      </c>
    </row>
    <row r="25" spans="1:17">
      <c r="E25" s="18" t="s">
        <v>115</v>
      </c>
      <c r="G25" s="3">
        <f>SUM(G20:G24)/5</f>
        <v>14.6</v>
      </c>
      <c r="H25" s="3">
        <f>SUM(H20:H24)/5</f>
        <v>10.199999999999999</v>
      </c>
      <c r="O25" s="5">
        <v>6</v>
      </c>
      <c r="P25" s="2" t="s">
        <v>196</v>
      </c>
      <c r="Q25" s="2" t="s">
        <v>193</v>
      </c>
    </row>
    <row r="26" spans="1:17">
      <c r="O26" s="5">
        <v>7</v>
      </c>
      <c r="P26" s="2" t="s">
        <v>198</v>
      </c>
      <c r="Q26" s="2" t="s">
        <v>193</v>
      </c>
    </row>
    <row r="27" spans="1:17">
      <c r="A27" s="18">
        <v>0</v>
      </c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12</v>
      </c>
      <c r="L27" s="4">
        <v>16</v>
      </c>
      <c r="M27" s="4">
        <v>20</v>
      </c>
      <c r="N27" s="4">
        <v>22</v>
      </c>
      <c r="O27" s="22">
        <v>8</v>
      </c>
      <c r="P27" s="3" t="s">
        <v>199</v>
      </c>
      <c r="Q27" s="2" t="s">
        <v>200</v>
      </c>
    </row>
    <row r="28" spans="1:17">
      <c r="B28" s="17"/>
      <c r="C28" s="5" t="s">
        <v>110</v>
      </c>
      <c r="D28" s="5" t="s">
        <v>111</v>
      </c>
      <c r="E28" s="5" t="s">
        <v>111</v>
      </c>
      <c r="F28" s="5" t="s">
        <v>111</v>
      </c>
      <c r="G28" s="5" t="s">
        <v>111</v>
      </c>
      <c r="H28" s="5" t="s">
        <v>111</v>
      </c>
      <c r="I28" s="5" t="s">
        <v>111</v>
      </c>
      <c r="J28" s="5" t="s">
        <v>111</v>
      </c>
      <c r="K28" s="5" t="s">
        <v>110</v>
      </c>
      <c r="L28" s="2" t="s">
        <v>114</v>
      </c>
      <c r="M28" s="2" t="s">
        <v>112</v>
      </c>
      <c r="N28" s="2" t="s">
        <v>113</v>
      </c>
      <c r="O28" s="5">
        <v>12</v>
      </c>
      <c r="P28" s="3" t="s">
        <v>201</v>
      </c>
      <c r="Q28" s="2" t="s">
        <v>202</v>
      </c>
    </row>
    <row r="29" spans="1:17">
      <c r="B29" s="6" t="s">
        <v>133</v>
      </c>
      <c r="C29" s="6" t="s">
        <v>151</v>
      </c>
      <c r="D29" s="6" t="s">
        <v>151</v>
      </c>
      <c r="E29" s="6" t="s">
        <v>151</v>
      </c>
      <c r="F29" s="6" t="s">
        <v>151</v>
      </c>
      <c r="G29" s="6" t="s">
        <v>151</v>
      </c>
      <c r="H29" s="6" t="s">
        <v>151</v>
      </c>
      <c r="I29" s="6" t="s">
        <v>151</v>
      </c>
      <c r="J29" s="6" t="s">
        <v>151</v>
      </c>
      <c r="K29" s="6" t="s">
        <v>136</v>
      </c>
      <c r="L29" s="6" t="s">
        <v>136</v>
      </c>
      <c r="M29" s="6" t="s">
        <v>135</v>
      </c>
      <c r="O29" s="5">
        <v>16</v>
      </c>
      <c r="P29" s="2" t="s">
        <v>203</v>
      </c>
      <c r="Q29" s="2" t="s">
        <v>205</v>
      </c>
    </row>
    <row r="30" spans="1:17">
      <c r="B30" s="6"/>
      <c r="C30" s="6" t="s">
        <v>134</v>
      </c>
      <c r="D30" s="6" t="s">
        <v>154</v>
      </c>
      <c r="E30" s="6" t="s">
        <v>159</v>
      </c>
      <c r="F30" s="6" t="s">
        <v>194</v>
      </c>
      <c r="G30" s="6" t="s">
        <v>195</v>
      </c>
      <c r="H30" s="6" t="s">
        <v>197</v>
      </c>
      <c r="I30" s="6" t="s">
        <v>207</v>
      </c>
      <c r="J30" s="6" t="s">
        <v>136</v>
      </c>
      <c r="K30" s="13" t="s">
        <v>135</v>
      </c>
      <c r="L30" s="13" t="s">
        <v>135</v>
      </c>
      <c r="O30" s="5">
        <v>20</v>
      </c>
      <c r="P30" s="2" t="s">
        <v>204</v>
      </c>
      <c r="Q30" s="2" t="s">
        <v>191</v>
      </c>
    </row>
    <row r="31" spans="1:17">
      <c r="B31" s="6"/>
      <c r="C31" s="6"/>
      <c r="D31" s="6" t="s">
        <v>136</v>
      </c>
      <c r="E31" s="6" t="s">
        <v>136</v>
      </c>
      <c r="F31" s="6" t="s">
        <v>136</v>
      </c>
      <c r="G31" s="6" t="s">
        <v>136</v>
      </c>
      <c r="H31" s="6" t="s">
        <v>136</v>
      </c>
      <c r="I31" s="6" t="s">
        <v>136</v>
      </c>
      <c r="J31" s="13" t="s">
        <v>135</v>
      </c>
      <c r="K31" s="13" t="s">
        <v>137</v>
      </c>
      <c r="O31" s="5">
        <v>22</v>
      </c>
      <c r="P31" s="2" t="s">
        <v>113</v>
      </c>
      <c r="Q31" s="2" t="s">
        <v>206</v>
      </c>
    </row>
    <row r="32" spans="1:17">
      <c r="B32" s="6"/>
      <c r="C32" s="6"/>
      <c r="G32" s="13" t="s">
        <v>135</v>
      </c>
      <c r="H32" s="13" t="s">
        <v>135</v>
      </c>
      <c r="I32" s="13" t="s">
        <v>135</v>
      </c>
      <c r="J32" s="13" t="s">
        <v>137</v>
      </c>
    </row>
    <row r="33" spans="1:11">
      <c r="B33" s="6"/>
      <c r="I33" s="13" t="s">
        <v>137</v>
      </c>
    </row>
    <row r="35" spans="1:11">
      <c r="A35" s="18" t="s">
        <v>118</v>
      </c>
    </row>
    <row r="36" spans="1:11">
      <c r="B36" s="2" t="s">
        <v>97</v>
      </c>
      <c r="C36" s="2" t="s">
        <v>119</v>
      </c>
      <c r="D36" s="2" t="s">
        <v>120</v>
      </c>
      <c r="E36" s="2" t="s">
        <v>182</v>
      </c>
      <c r="F36" s="3" t="s">
        <v>105</v>
      </c>
      <c r="G36" s="3" t="s">
        <v>106</v>
      </c>
      <c r="H36" s="3" t="s">
        <v>107</v>
      </c>
    </row>
    <row r="37" spans="1:11">
      <c r="B37" s="2" t="s">
        <v>100</v>
      </c>
      <c r="C37" s="5">
        <v>4</v>
      </c>
      <c r="D37" s="5">
        <v>5</v>
      </c>
      <c r="E37" s="5">
        <v>2</v>
      </c>
      <c r="F37" s="2"/>
      <c r="G37" s="2"/>
      <c r="H37" s="2"/>
    </row>
    <row r="38" spans="1:11">
      <c r="B38" s="2" t="s">
        <v>101</v>
      </c>
      <c r="C38" s="5">
        <v>4</v>
      </c>
      <c r="D38" s="5">
        <v>10</v>
      </c>
      <c r="E38" s="5">
        <v>1</v>
      </c>
      <c r="F38" s="2"/>
      <c r="G38" s="2"/>
      <c r="H38" s="2"/>
    </row>
    <row r="39" spans="1:11">
      <c r="B39" s="2" t="s">
        <v>102</v>
      </c>
      <c r="C39" s="5">
        <v>0</v>
      </c>
      <c r="D39" s="5">
        <v>2</v>
      </c>
      <c r="E39" s="5">
        <v>4</v>
      </c>
      <c r="F39" s="2"/>
      <c r="G39" s="2"/>
      <c r="H39" s="2"/>
    </row>
    <row r="40" spans="1:11">
      <c r="B40" s="2" t="s">
        <v>103</v>
      </c>
      <c r="C40" s="5">
        <v>3</v>
      </c>
      <c r="D40" s="5">
        <v>1</v>
      </c>
      <c r="E40" s="5">
        <v>5</v>
      </c>
      <c r="F40" s="2"/>
      <c r="G40" s="2"/>
      <c r="H40" s="2"/>
    </row>
    <row r="41" spans="1:11">
      <c r="B41" s="2" t="s">
        <v>104</v>
      </c>
      <c r="C41" s="5">
        <v>8</v>
      </c>
      <c r="D41" s="5">
        <v>4</v>
      </c>
      <c r="E41" s="5">
        <v>3</v>
      </c>
      <c r="F41" s="2"/>
      <c r="G41" s="2"/>
      <c r="H41" s="2"/>
    </row>
    <row r="42" spans="1:11">
      <c r="E42" s="18" t="s">
        <v>115</v>
      </c>
      <c r="G42" s="3">
        <f>SUM(G37:G41)/5</f>
        <v>0</v>
      </c>
      <c r="H42" s="3">
        <f>SUM(H37:H41)/5</f>
        <v>0</v>
      </c>
    </row>
    <row r="45" spans="1:11">
      <c r="A45" s="18">
        <v>0</v>
      </c>
      <c r="B45" s="25"/>
      <c r="C45" s="26"/>
      <c r="D45" s="26"/>
      <c r="E45" s="26"/>
      <c r="F45" s="26"/>
      <c r="G45" s="26"/>
      <c r="H45" s="26"/>
      <c r="I45" s="26"/>
      <c r="J45" s="26"/>
      <c r="K45" s="26"/>
    </row>
    <row r="46" spans="1:11">
      <c r="B46" s="27"/>
      <c r="C46" s="23"/>
      <c r="D46" s="27"/>
      <c r="E46" s="27"/>
      <c r="F46" s="27"/>
      <c r="G46" s="27"/>
      <c r="H46" s="27"/>
      <c r="I46" s="27"/>
      <c r="J46" s="27"/>
      <c r="K46" s="27"/>
    </row>
    <row r="47" spans="1:11">
      <c r="A47" s="6" t="s">
        <v>136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>
      <c r="B48" s="28"/>
      <c r="C48" s="28"/>
      <c r="D48" s="28"/>
      <c r="E48" s="28"/>
      <c r="F48" s="28"/>
      <c r="G48" s="28"/>
      <c r="H48" s="28"/>
      <c r="I48" s="28"/>
      <c r="J48" s="29"/>
      <c r="K48" s="28"/>
    </row>
    <row r="49" spans="2:11">
      <c r="B49" s="28"/>
      <c r="C49" s="28"/>
      <c r="D49" s="28"/>
      <c r="E49" s="28"/>
      <c r="F49" s="28"/>
      <c r="G49" s="28"/>
      <c r="H49" s="28"/>
      <c r="I49" s="29"/>
      <c r="J49" s="29"/>
      <c r="K49" s="28"/>
    </row>
    <row r="50" spans="2:11">
      <c r="B50" s="28"/>
      <c r="C50" s="28"/>
      <c r="D50" s="25"/>
      <c r="E50" s="25"/>
      <c r="F50" s="25"/>
      <c r="G50" s="29"/>
      <c r="H50" s="29"/>
      <c r="I50" s="29"/>
      <c r="J50" s="25"/>
      <c r="K50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4"/>
  <sheetViews>
    <sheetView workbookViewId="0">
      <selection activeCell="P12" sqref="P12"/>
    </sheetView>
  </sheetViews>
  <sheetFormatPr defaultRowHeight="15.75"/>
  <cols>
    <col min="1" max="1" width="9" style="18"/>
    <col min="3" max="7" width="7.625" customWidth="1"/>
    <col min="8" max="11" width="5.875" customWidth="1"/>
    <col min="12" max="14" width="5.875" style="24" customWidth="1"/>
    <col min="15" max="16" width="5.875" customWidth="1"/>
    <col min="17" max="17" width="5.875" style="24" customWidth="1"/>
    <col min="18" max="18" width="5.875" customWidth="1"/>
    <col min="19" max="19" width="4.875" style="4" customWidth="1"/>
    <col min="20" max="20" width="10.375" style="4" customWidth="1"/>
    <col min="21" max="21" width="17.5" style="4" bestFit="1" customWidth="1"/>
  </cols>
  <sheetData>
    <row r="1" spans="1:21">
      <c r="B1" s="18"/>
      <c r="C1" s="18"/>
      <c r="D1" s="18"/>
      <c r="E1" s="18"/>
      <c r="F1" s="18"/>
      <c r="G1" s="18"/>
      <c r="H1" s="18"/>
      <c r="I1" s="18"/>
      <c r="J1" s="18"/>
      <c r="K1" s="18"/>
      <c r="O1" s="18"/>
      <c r="P1" s="18"/>
      <c r="R1" s="18"/>
    </row>
    <row r="2" spans="1:21">
      <c r="B2" s="18"/>
      <c r="C2" s="18" t="s">
        <v>208</v>
      </c>
      <c r="D2" s="18"/>
      <c r="E2" s="18"/>
      <c r="F2" s="18"/>
      <c r="G2" s="18"/>
      <c r="H2" s="18"/>
      <c r="I2" s="18"/>
      <c r="J2" s="18"/>
      <c r="K2" s="18"/>
      <c r="O2" s="18"/>
      <c r="P2" s="18"/>
      <c r="R2" s="18"/>
    </row>
    <row r="3" spans="1:21">
      <c r="B3" s="2" t="s">
        <v>97</v>
      </c>
      <c r="C3" s="2" t="s">
        <v>119</v>
      </c>
      <c r="D3" s="2" t="s">
        <v>120</v>
      </c>
      <c r="E3" s="3" t="s">
        <v>105</v>
      </c>
      <c r="F3" s="3" t="s">
        <v>106</v>
      </c>
      <c r="G3" s="3" t="s">
        <v>107</v>
      </c>
      <c r="H3" s="18"/>
      <c r="I3" s="18"/>
      <c r="J3" s="18"/>
      <c r="K3" s="18"/>
      <c r="O3" s="18"/>
      <c r="P3" s="18"/>
      <c r="R3" s="18"/>
      <c r="S3" s="30" t="s">
        <v>128</v>
      </c>
      <c r="T3" s="30" t="s">
        <v>148</v>
      </c>
      <c r="U3" s="30" t="s">
        <v>127</v>
      </c>
    </row>
    <row r="4" spans="1:21">
      <c r="B4" s="2" t="s">
        <v>100</v>
      </c>
      <c r="C4" s="5">
        <v>1</v>
      </c>
      <c r="D4" s="5">
        <v>5</v>
      </c>
      <c r="E4" s="5">
        <v>14</v>
      </c>
      <c r="F4" s="5">
        <f>E4-C4</f>
        <v>13</v>
      </c>
      <c r="G4" s="5">
        <f>F4-D4</f>
        <v>8</v>
      </c>
      <c r="H4" s="18"/>
      <c r="I4" s="18"/>
      <c r="J4" s="18"/>
      <c r="K4" s="18"/>
      <c r="O4" s="18"/>
      <c r="P4" s="18"/>
      <c r="R4" s="18"/>
      <c r="S4" s="30">
        <v>0</v>
      </c>
      <c r="T4" s="30" t="s">
        <v>149</v>
      </c>
      <c r="U4" s="30"/>
    </row>
    <row r="5" spans="1:21">
      <c r="B5" s="2" t="s">
        <v>101</v>
      </c>
      <c r="C5" s="5">
        <v>2</v>
      </c>
      <c r="D5" s="5">
        <v>10</v>
      </c>
      <c r="E5" s="5">
        <v>23</v>
      </c>
      <c r="F5" s="5">
        <f t="shared" ref="F5:F8" si="0">E5-C5</f>
        <v>21</v>
      </c>
      <c r="G5" s="5">
        <f t="shared" ref="G5:G8" si="1">F5-D5</f>
        <v>11</v>
      </c>
      <c r="H5" s="18"/>
      <c r="I5" s="18"/>
      <c r="J5" s="18"/>
      <c r="K5" s="18"/>
      <c r="O5" s="18"/>
      <c r="P5" s="18"/>
      <c r="R5" s="18"/>
      <c r="S5" s="30">
        <v>1</v>
      </c>
      <c r="T5" s="30" t="s">
        <v>110</v>
      </c>
      <c r="U5" s="30" t="s">
        <v>150</v>
      </c>
    </row>
    <row r="6" spans="1:21">
      <c r="B6" s="2" t="s">
        <v>102</v>
      </c>
      <c r="C6" s="5">
        <v>3</v>
      </c>
      <c r="D6" s="5">
        <v>2</v>
      </c>
      <c r="E6" s="5">
        <v>8</v>
      </c>
      <c r="F6" s="5">
        <f t="shared" si="0"/>
        <v>5</v>
      </c>
      <c r="G6" s="5">
        <f t="shared" si="1"/>
        <v>3</v>
      </c>
      <c r="H6" s="18"/>
      <c r="I6" s="18"/>
      <c r="J6" s="18"/>
      <c r="K6" s="18"/>
      <c r="O6" s="18"/>
      <c r="P6" s="18"/>
      <c r="R6" s="18"/>
      <c r="S6" s="30">
        <v>2</v>
      </c>
      <c r="T6" s="30" t="s">
        <v>152</v>
      </c>
      <c r="U6" s="30" t="s">
        <v>153</v>
      </c>
    </row>
    <row r="7" spans="1:21">
      <c r="B7" s="2" t="s">
        <v>103</v>
      </c>
      <c r="C7" s="5">
        <v>6</v>
      </c>
      <c r="D7" s="5">
        <v>1</v>
      </c>
      <c r="E7" s="5">
        <v>9</v>
      </c>
      <c r="F7" s="5">
        <f t="shared" si="0"/>
        <v>3</v>
      </c>
      <c r="G7" s="5">
        <f t="shared" si="1"/>
        <v>2</v>
      </c>
      <c r="H7" s="18"/>
      <c r="I7" s="18"/>
      <c r="J7" s="18"/>
      <c r="K7" s="18"/>
      <c r="O7" s="18"/>
      <c r="P7" s="18"/>
      <c r="R7" s="18"/>
      <c r="S7" s="30">
        <v>3</v>
      </c>
      <c r="T7" s="30" t="s">
        <v>155</v>
      </c>
      <c r="U7" s="30" t="s">
        <v>150</v>
      </c>
    </row>
    <row r="8" spans="1:21">
      <c r="B8" s="2" t="s">
        <v>104</v>
      </c>
      <c r="C8" s="5">
        <v>8</v>
      </c>
      <c r="D8" s="5">
        <v>4</v>
      </c>
      <c r="E8" s="5">
        <v>19</v>
      </c>
      <c r="F8" s="5">
        <f t="shared" si="0"/>
        <v>11</v>
      </c>
      <c r="G8" s="5">
        <f t="shared" si="1"/>
        <v>7</v>
      </c>
      <c r="H8" s="18"/>
      <c r="I8" s="18"/>
      <c r="J8" s="18"/>
      <c r="K8" s="18"/>
      <c r="O8" s="18"/>
      <c r="P8" s="18"/>
      <c r="R8" s="18"/>
      <c r="S8" s="30">
        <v>4</v>
      </c>
      <c r="T8" s="30" t="s">
        <v>156</v>
      </c>
      <c r="U8" s="30" t="s">
        <v>157</v>
      </c>
    </row>
    <row r="9" spans="1:21">
      <c r="B9" s="18"/>
      <c r="C9" s="18"/>
      <c r="D9" s="18"/>
      <c r="E9" s="18" t="s">
        <v>115</v>
      </c>
      <c r="F9" s="3">
        <f>SUM(F4:F8)/5</f>
        <v>10.6</v>
      </c>
      <c r="G9" s="3">
        <f>SUM(G4:G8)/5</f>
        <v>6.2</v>
      </c>
      <c r="H9" s="18"/>
      <c r="I9" s="18"/>
      <c r="J9" s="18"/>
      <c r="K9" s="18"/>
      <c r="O9" s="18"/>
      <c r="P9" s="18"/>
      <c r="R9" s="18"/>
      <c r="S9" s="30">
        <v>5</v>
      </c>
      <c r="T9" s="30" t="s">
        <v>158</v>
      </c>
      <c r="U9" s="30" t="s">
        <v>153</v>
      </c>
    </row>
    <row r="10" spans="1:21">
      <c r="B10" s="18"/>
      <c r="C10" s="18"/>
      <c r="D10" s="18"/>
      <c r="E10" s="18"/>
      <c r="F10" s="18"/>
      <c r="G10" s="18"/>
      <c r="H10" s="18"/>
      <c r="I10" s="18"/>
      <c r="J10" s="18"/>
      <c r="K10" s="18"/>
      <c r="O10" s="18"/>
      <c r="P10" s="18"/>
      <c r="R10" s="18"/>
      <c r="S10" s="30">
        <v>6</v>
      </c>
      <c r="T10" s="30" t="s">
        <v>161</v>
      </c>
      <c r="U10" s="30" t="s">
        <v>150</v>
      </c>
    </row>
    <row r="11" spans="1:21">
      <c r="A11" s="18">
        <v>0</v>
      </c>
      <c r="B11" s="18"/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4">
        <v>7</v>
      </c>
      <c r="J11" s="4">
        <v>8</v>
      </c>
      <c r="K11" s="4">
        <v>9</v>
      </c>
      <c r="L11" s="4">
        <v>10</v>
      </c>
      <c r="M11" s="4">
        <v>11</v>
      </c>
      <c r="N11" s="4">
        <v>12</v>
      </c>
      <c r="O11" s="4">
        <v>13</v>
      </c>
      <c r="P11" s="4">
        <v>14</v>
      </c>
      <c r="Q11" s="4">
        <v>15</v>
      </c>
      <c r="R11" s="4"/>
      <c r="S11" s="30">
        <v>7</v>
      </c>
      <c r="T11" s="30" t="s">
        <v>163</v>
      </c>
      <c r="U11" s="30" t="s">
        <v>157</v>
      </c>
    </row>
    <row r="12" spans="1:21">
      <c r="B12" s="17"/>
      <c r="C12" s="5" t="s">
        <v>110</v>
      </c>
      <c r="D12" s="5" t="s">
        <v>111</v>
      </c>
      <c r="E12" s="5" t="s">
        <v>110</v>
      </c>
      <c r="F12" s="5" t="s">
        <v>112</v>
      </c>
      <c r="G12" s="5" t="s">
        <v>111</v>
      </c>
      <c r="H12" s="5" t="s">
        <v>110</v>
      </c>
      <c r="I12" s="5" t="s">
        <v>112</v>
      </c>
      <c r="J12" s="5" t="s">
        <v>113</v>
      </c>
      <c r="K12" s="5" t="s">
        <v>111</v>
      </c>
      <c r="L12" s="5" t="s">
        <v>110</v>
      </c>
      <c r="M12" s="5" t="s">
        <v>114</v>
      </c>
      <c r="N12" s="5" t="s">
        <v>111</v>
      </c>
      <c r="O12" s="5" t="s">
        <v>110</v>
      </c>
      <c r="P12" s="5" t="s">
        <v>114</v>
      </c>
      <c r="Q12" s="5"/>
      <c r="R12" s="5"/>
      <c r="S12" s="30">
        <v>8</v>
      </c>
      <c r="T12" s="30" t="s">
        <v>164</v>
      </c>
      <c r="U12" s="30" t="s">
        <v>165</v>
      </c>
    </row>
    <row r="13" spans="1:21">
      <c r="B13" s="6" t="s">
        <v>133</v>
      </c>
      <c r="C13" s="6" t="s">
        <v>151</v>
      </c>
      <c r="D13" s="6" t="s">
        <v>151</v>
      </c>
      <c r="E13" s="6" t="s">
        <v>160</v>
      </c>
      <c r="F13" s="6" t="s">
        <v>160</v>
      </c>
      <c r="G13" s="6" t="s">
        <v>160</v>
      </c>
      <c r="H13" s="6" t="s">
        <v>162</v>
      </c>
      <c r="I13" s="6" t="s">
        <v>162</v>
      </c>
      <c r="J13" s="6" t="s">
        <v>162</v>
      </c>
      <c r="K13" s="6" t="s">
        <v>162</v>
      </c>
      <c r="L13" s="6" t="s">
        <v>176</v>
      </c>
      <c r="M13" s="6" t="s">
        <v>176</v>
      </c>
      <c r="N13" s="6" t="s">
        <v>176</v>
      </c>
      <c r="O13" s="6" t="s">
        <v>195</v>
      </c>
      <c r="P13" s="6" t="s">
        <v>195</v>
      </c>
      <c r="Q13" s="6"/>
      <c r="R13" s="4"/>
      <c r="S13" s="30">
        <v>9</v>
      </c>
      <c r="T13" s="30" t="s">
        <v>166</v>
      </c>
      <c r="U13" s="30" t="s">
        <v>153</v>
      </c>
    </row>
    <row r="14" spans="1:21">
      <c r="B14" s="6"/>
      <c r="C14" s="6" t="s">
        <v>134</v>
      </c>
      <c r="D14" s="6" t="s">
        <v>154</v>
      </c>
      <c r="E14" s="6" t="s">
        <v>154</v>
      </c>
      <c r="F14" s="6" t="s">
        <v>154</v>
      </c>
      <c r="G14" s="6" t="s">
        <v>159</v>
      </c>
      <c r="H14" s="6" t="s">
        <v>159</v>
      </c>
      <c r="I14" s="6" t="s">
        <v>159</v>
      </c>
      <c r="J14" s="6" t="s">
        <v>159</v>
      </c>
      <c r="K14" s="6" t="s">
        <v>194</v>
      </c>
      <c r="L14" s="6" t="s">
        <v>194</v>
      </c>
      <c r="M14" s="6" t="s">
        <v>194</v>
      </c>
      <c r="N14" s="6" t="s">
        <v>195</v>
      </c>
      <c r="O14" s="6" t="s">
        <v>141</v>
      </c>
      <c r="P14" s="6" t="s">
        <v>143</v>
      </c>
      <c r="Q14" s="6"/>
      <c r="R14" s="18"/>
      <c r="S14" s="30">
        <v>10</v>
      </c>
      <c r="T14" s="30" t="s">
        <v>209</v>
      </c>
      <c r="U14" s="30" t="s">
        <v>150</v>
      </c>
    </row>
    <row r="15" spans="1:21">
      <c r="B15" s="6"/>
      <c r="C15" s="6"/>
      <c r="D15" s="6" t="s">
        <v>136</v>
      </c>
      <c r="E15" s="6" t="s">
        <v>136</v>
      </c>
      <c r="F15" s="6" t="s">
        <v>139</v>
      </c>
      <c r="G15" s="6" t="s">
        <v>139</v>
      </c>
      <c r="H15" s="6" t="s">
        <v>139</v>
      </c>
      <c r="I15" s="13" t="s">
        <v>135</v>
      </c>
      <c r="J15" s="13" t="s">
        <v>137</v>
      </c>
      <c r="K15" s="13" t="s">
        <v>137</v>
      </c>
      <c r="L15" s="13" t="s">
        <v>137</v>
      </c>
      <c r="M15" s="13" t="s">
        <v>141</v>
      </c>
      <c r="N15" s="6" t="s">
        <v>141</v>
      </c>
      <c r="O15" s="6"/>
      <c r="P15" s="6"/>
      <c r="Q15" s="6"/>
      <c r="R15" s="18"/>
      <c r="S15" s="30">
        <v>11</v>
      </c>
      <c r="T15" s="30" t="s">
        <v>210</v>
      </c>
      <c r="U15" s="30" t="s">
        <v>211</v>
      </c>
    </row>
    <row r="16" spans="1:21">
      <c r="B16" s="6"/>
      <c r="C16" s="6"/>
      <c r="D16" s="18"/>
      <c r="E16" s="18"/>
      <c r="F16" s="18"/>
      <c r="G16" s="13" t="s">
        <v>135</v>
      </c>
      <c r="H16" s="13" t="s">
        <v>135</v>
      </c>
      <c r="I16" s="13" t="s">
        <v>137</v>
      </c>
      <c r="J16" s="18"/>
      <c r="K16" s="18"/>
      <c r="O16" s="18"/>
      <c r="P16" s="18"/>
      <c r="R16" s="18"/>
      <c r="S16" s="30">
        <v>12</v>
      </c>
      <c r="T16" s="30" t="s">
        <v>166</v>
      </c>
      <c r="U16" s="30" t="s">
        <v>153</v>
      </c>
    </row>
    <row r="17" spans="1:21">
      <c r="B17" s="6"/>
      <c r="C17" s="18"/>
      <c r="D17" s="18"/>
      <c r="E17" s="18"/>
      <c r="F17" s="18"/>
      <c r="G17" s="18"/>
      <c r="H17" s="18"/>
      <c r="I17" s="13"/>
      <c r="J17" s="18"/>
      <c r="K17" s="18"/>
      <c r="O17" s="18"/>
      <c r="P17" s="18"/>
      <c r="R17" s="18"/>
      <c r="S17" s="30">
        <v>13</v>
      </c>
      <c r="T17" s="30" t="s">
        <v>209</v>
      </c>
      <c r="U17" s="30" t="s">
        <v>150</v>
      </c>
    </row>
    <row r="18" spans="1:21">
      <c r="B18" s="18"/>
      <c r="C18" s="18"/>
      <c r="D18" s="18"/>
      <c r="E18" s="18"/>
      <c r="F18" s="18"/>
      <c r="G18" s="18"/>
      <c r="H18" s="18"/>
      <c r="I18" s="18"/>
      <c r="J18" s="18"/>
      <c r="K18" s="18"/>
      <c r="O18" s="18"/>
      <c r="P18" s="18"/>
      <c r="R18" s="18"/>
      <c r="S18" s="30">
        <v>14</v>
      </c>
      <c r="T18" s="30" t="s">
        <v>212</v>
      </c>
      <c r="U18" s="30" t="s">
        <v>211</v>
      </c>
    </row>
    <row r="19" spans="1:21">
      <c r="B19" s="18"/>
      <c r="C19" s="18"/>
      <c r="D19" s="18"/>
      <c r="E19" s="18"/>
      <c r="F19" s="18"/>
      <c r="G19" s="18"/>
      <c r="H19" s="18"/>
      <c r="I19" s="18"/>
      <c r="J19" s="18"/>
      <c r="K19" s="18"/>
      <c r="O19" s="18"/>
      <c r="P19" s="18"/>
      <c r="R19" s="18"/>
      <c r="S19" s="30">
        <v>15</v>
      </c>
      <c r="T19" s="30" t="s">
        <v>213</v>
      </c>
      <c r="U19" s="30" t="s">
        <v>153</v>
      </c>
    </row>
    <row r="20" spans="1:21">
      <c r="A20" s="18">
        <v>15</v>
      </c>
      <c r="B20" s="25"/>
      <c r="C20" s="26">
        <v>16</v>
      </c>
      <c r="D20" s="26">
        <v>17</v>
      </c>
      <c r="E20" s="26">
        <v>18</v>
      </c>
      <c r="F20" s="26">
        <v>19</v>
      </c>
      <c r="G20" s="26">
        <v>23</v>
      </c>
      <c r="S20" s="30">
        <v>16</v>
      </c>
      <c r="T20" s="30" t="s">
        <v>212</v>
      </c>
      <c r="U20" s="30" t="s">
        <v>211</v>
      </c>
    </row>
    <row r="21" spans="1:21">
      <c r="B21" s="31" t="s">
        <v>111</v>
      </c>
      <c r="C21" s="27" t="s">
        <v>114</v>
      </c>
      <c r="D21" s="27" t="s">
        <v>111</v>
      </c>
      <c r="E21" s="27" t="s">
        <v>114</v>
      </c>
      <c r="F21" s="27" t="s">
        <v>111</v>
      </c>
      <c r="S21" s="30">
        <v>17</v>
      </c>
      <c r="T21" s="30" t="s">
        <v>213</v>
      </c>
      <c r="U21" s="30" t="s">
        <v>153</v>
      </c>
    </row>
    <row r="22" spans="1:21">
      <c r="A22" s="6" t="s">
        <v>195</v>
      </c>
      <c r="B22" s="6" t="s">
        <v>197</v>
      </c>
      <c r="C22" s="28" t="s">
        <v>197</v>
      </c>
      <c r="D22" s="28" t="s">
        <v>207</v>
      </c>
      <c r="E22" s="28" t="s">
        <v>207</v>
      </c>
      <c r="F22" s="28"/>
      <c r="S22" s="30">
        <v>18</v>
      </c>
      <c r="T22" s="30" t="s">
        <v>212</v>
      </c>
      <c r="U22" s="30" t="s">
        <v>211</v>
      </c>
    </row>
    <row r="23" spans="1:21">
      <c r="A23" s="6" t="s">
        <v>143</v>
      </c>
      <c r="B23" s="6" t="s">
        <v>143</v>
      </c>
      <c r="C23" s="28" t="s">
        <v>144</v>
      </c>
      <c r="D23" s="28" t="s">
        <v>144</v>
      </c>
      <c r="E23" s="28"/>
      <c r="F23" s="28"/>
      <c r="S23" s="30">
        <v>19</v>
      </c>
      <c r="T23" s="30" t="s">
        <v>111</v>
      </c>
      <c r="U23" s="30" t="s">
        <v>214</v>
      </c>
    </row>
    <row r="24" spans="1:21">
      <c r="B24" s="28"/>
      <c r="C24" s="28"/>
      <c r="D24" s="28"/>
      <c r="E24" s="28"/>
      <c r="F24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3:E4"/>
  <sheetViews>
    <sheetView workbookViewId="0">
      <selection activeCell="F6" sqref="A2:F6"/>
    </sheetView>
  </sheetViews>
  <sheetFormatPr defaultRowHeight="15.75"/>
  <cols>
    <col min="2" max="2" width="14.25" bestFit="1" customWidth="1"/>
    <col min="3" max="3" width="12" bestFit="1" customWidth="1"/>
    <col min="4" max="4" width="11.5" bestFit="1" customWidth="1"/>
  </cols>
  <sheetData>
    <row r="3" spans="2:5">
      <c r="B3" s="2"/>
      <c r="C3" s="2"/>
      <c r="D3" s="2"/>
      <c r="E3" s="3"/>
    </row>
    <row r="4" spans="2:5">
      <c r="B4" s="2"/>
      <c r="C4" s="2"/>
      <c r="D4" s="32"/>
      <c r="E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Attendance</vt:lpstr>
      <vt:lpstr>FCFS</vt:lpstr>
      <vt:lpstr>SJF-non Preem</vt:lpstr>
      <vt:lpstr>SJF-Preem</vt:lpstr>
      <vt:lpstr>priority</vt:lpstr>
      <vt:lpstr>Priority-Preem</vt:lpstr>
      <vt:lpstr>RR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SHARAD</cp:lastModifiedBy>
  <dcterms:created xsi:type="dcterms:W3CDTF">2021-09-06T05:26:29Z</dcterms:created>
  <dcterms:modified xsi:type="dcterms:W3CDTF">2024-08-14T05:09:32Z</dcterms:modified>
</cp:coreProperties>
</file>